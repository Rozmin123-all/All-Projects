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rojects\Quantitative Finance Modelling\"/>
    </mc:Choice>
  </mc:AlternateContent>
  <xr:revisionPtr revIDLastSave="0" documentId="13_ncr:1_{592038BB-0654-4B62-9E3E-D520F75A7F73}" xr6:coauthVersionLast="47" xr6:coauthVersionMax="47" xr10:uidLastSave="{00000000-0000-0000-0000-000000000000}"/>
  <bookViews>
    <workbookView xWindow="-120" yWindow="-120" windowWidth="20730" windowHeight="11040" xr2:uid="{FF87513B-386E-44E5-9AAF-838C3792A2F1}"/>
  </bookViews>
  <sheets>
    <sheet name="Monte Carlo Simul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8" i="1" l="1"/>
  <c r="O16" i="1"/>
  <c r="O15" i="1"/>
  <c r="O14" i="1"/>
  <c r="O13" i="1"/>
  <c r="E15" i="1"/>
  <c r="F15" i="1" s="1"/>
  <c r="H15" i="1"/>
  <c r="E16" i="1"/>
  <c r="F16" i="1" s="1"/>
  <c r="H16" i="1"/>
  <c r="E17" i="1"/>
  <c r="F17" i="1" s="1"/>
  <c r="H17" i="1"/>
  <c r="E18" i="1"/>
  <c r="F18" i="1" s="1"/>
  <c r="H18" i="1"/>
  <c r="E19" i="1"/>
  <c r="F19" i="1" s="1"/>
  <c r="H19" i="1"/>
  <c r="E20" i="1"/>
  <c r="F20" i="1" s="1"/>
  <c r="H20" i="1"/>
  <c r="E21" i="1"/>
  <c r="F21" i="1" s="1"/>
  <c r="H21" i="1"/>
  <c r="E22" i="1"/>
  <c r="F22" i="1" s="1"/>
  <c r="H22" i="1"/>
  <c r="H14" i="1"/>
  <c r="E14" i="1"/>
  <c r="F14" i="1" s="1"/>
  <c r="H13" i="1"/>
  <c r="E13" i="1"/>
  <c r="F13" i="1" s="1"/>
  <c r="G13" i="1" s="1"/>
  <c r="B14" i="1" s="1"/>
  <c r="C14" i="1" s="1"/>
  <c r="D13" i="1"/>
  <c r="C13" i="1"/>
  <c r="B13" i="1"/>
  <c r="O19" i="1"/>
  <c r="O20" i="1" s="1"/>
  <c r="O17" i="1"/>
  <c r="D14" i="1" l="1"/>
  <c r="G14" i="1" s="1"/>
  <c r="B15" i="1" s="1"/>
  <c r="C15" i="1" l="1"/>
  <c r="D15" i="1" s="1"/>
  <c r="G15" i="1" l="1"/>
  <c r="B16" i="1" s="1"/>
  <c r="C16" i="1" l="1"/>
  <c r="D16" i="1" s="1"/>
  <c r="G16" i="1" l="1"/>
  <c r="B17" i="1" s="1"/>
  <c r="C17" i="1" l="1"/>
  <c r="D17" i="1" l="1"/>
  <c r="G17" i="1" s="1"/>
  <c r="B18" i="1" s="1"/>
  <c r="C18" i="1" l="1"/>
  <c r="D18" i="1" l="1"/>
  <c r="G18" i="1" s="1"/>
  <c r="B19" i="1" s="1"/>
  <c r="C19" i="1" l="1"/>
  <c r="D19" i="1" s="1"/>
  <c r="G19" i="1" l="1"/>
  <c r="B20" i="1" s="1"/>
  <c r="C20" i="1" l="1"/>
  <c r="D20" i="1" s="1"/>
  <c r="G20" i="1" l="1"/>
  <c r="B21" i="1" s="1"/>
  <c r="C21" i="1" l="1"/>
  <c r="D21" i="1" l="1"/>
  <c r="G21" i="1" s="1"/>
  <c r="B22" i="1" s="1"/>
  <c r="C22" i="1" l="1"/>
  <c r="D22" i="1" l="1"/>
  <c r="G22" i="1" s="1"/>
  <c r="I22" i="1" l="1"/>
  <c r="L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1" authorId="0" shapeId="0" xr:uid="{DCFE3AF1-188B-4D9C-A3B6-DAD6AF17A24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Blue Text Indicates Input Variables
</t>
        </r>
      </text>
    </comment>
    <comment ref="E12" authorId="0" shapeId="0" xr:uid="{32C97F9A-80A5-4F15-B296-125F7ACCB2B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We'll generate Random Numbers to compute the return on the Equities for every year.</t>
        </r>
      </text>
    </comment>
    <comment ref="F12" authorId="0" shapeId="0" xr:uid="{31BA9FA5-1DE3-456E-A67F-A5CF84B4289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Since it is a risky variable
1 is initial value of equity
z=(return- mean)/sd
then,
return=z*sd+ mean</t>
        </r>
      </text>
    </comment>
    <comment ref="K12" authorId="0" shapeId="0" xr:uid="{3EFAA8F3-67AD-42F5-9DCF-34BDAB97126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WE COULD HAVE USE VBA FOR THIS BUT USE DATA TABLE UNDER DATA TAB IN WHAT IF ANALYSIS</t>
        </r>
      </text>
    </comment>
    <comment ref="A13" authorId="0" shapeId="0" xr:uid="{5C510F12-F76C-4CD7-931E-D3D13CFA3B8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We will do one simulation from the age of 70 to the age of 80 years old.Nsed on that number , we'll run the simulation.</t>
        </r>
      </text>
    </comment>
    <comment ref="E13" authorId="0" shapeId="0" xr:uid="{36ED251B-7DEE-41F3-94F1-AF1B3C41C64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This formula returns the inverse of standard cumulative normal distribution
This would require probability between 0 ans 1 ,which we will get using rand function.</t>
        </r>
      </text>
    </comment>
    <comment ref="F13" authorId="0" shapeId="0" xr:uid="{89EE84D1-550E-4C4C-AFF4-A4CD7F42B3B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WE ARE USING DISCRETE RETURNS</t>
        </r>
      </text>
    </comment>
    <comment ref="D14" authorId="0" shapeId="0" xr:uid="{C0D9E7E3-5B87-4BF6-B10E-4AD2C7FE886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HERE WE ASSUME THAT WHEN THE CLIENT DRAWS DOWN THE DRAWDOWN OF 1ST YEAR(2 LAKH),THE WEALTH MANAGER WILL LIQUADATE ACCORDING TO  Proportion Invested in Equities PERCENTAGE ( 40 % OF 2 LAKH)</t>
        </r>
      </text>
    </comment>
    <comment ref="N14" authorId="0" shapeId="0" xr:uid="{6F75C776-7404-413F-B84C-CD7D48B9546B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Volatility will be above this number
</t>
        </r>
      </text>
    </comment>
    <comment ref="D15" authorId="0" shapeId="0" xr:uid="{05BB2491-E2F5-4657-ABD6-4674F5796ED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40% OF 2 LAKH WILL COME FROM LIQUIDATING EQUITIES AND 60% WILL COME FROM LIQUIDATING GOVERNMENT BONDS.
</t>
        </r>
      </text>
    </comment>
    <comment ref="N15" authorId="0" shapeId="0" xr:uid="{3B1D3515-C11A-45F0-B862-03D6D30EEBA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25% chance that wealth will be this or below
</t>
        </r>
      </text>
    </comment>
    <comment ref="D16" authorId="0" shapeId="0" xr:uid="{CF4FB048-5ECA-40CF-834A-C31781D53B5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IF SOME CERTAIN ASSETS ARE ILLIQUID THEN THE PROPORTION COULD BE DIFFERENT</t>
        </r>
      </text>
    </comment>
    <comment ref="I22" authorId="0" shapeId="0" xr:uid="{00BAFDB0-7853-4B31-904A-025A16E0F4C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When we do simulation later we will base it on this value to simulate
</t>
        </r>
      </text>
    </comment>
  </commentList>
</comments>
</file>

<file path=xl/sharedStrings.xml><?xml version="1.0" encoding="utf-8"?>
<sst xmlns="http://schemas.openxmlformats.org/spreadsheetml/2006/main" count="32" uniqueCount="32">
  <si>
    <t>Current Wealth</t>
  </si>
  <si>
    <t>Government Bonds (Risk-free Asset)</t>
  </si>
  <si>
    <t xml:space="preserve">Expected Annual Return on Government Bonds </t>
  </si>
  <si>
    <t>No S.D. as non-risky asset</t>
  </si>
  <si>
    <t>Equities</t>
  </si>
  <si>
    <t>Expected Annual Return of Equity</t>
  </si>
  <si>
    <t>Standard Deviation of Expected Annual Return of Equity</t>
  </si>
  <si>
    <t>Proportion Invested in Equities</t>
  </si>
  <si>
    <t>Annual Drawdown/Withdrawal from the client</t>
  </si>
  <si>
    <t>Donation to the Charity  at the end of 10 years</t>
  </si>
  <si>
    <t>Year</t>
  </si>
  <si>
    <t>Wealth at the beginning of the year</t>
  </si>
  <si>
    <t>Amount Invested in Equities</t>
  </si>
  <si>
    <t>Amount Invested in Government Bonds</t>
  </si>
  <si>
    <t>Random Numbers based on Normal Distribution</t>
  </si>
  <si>
    <t>1+ Return on Equities</t>
  </si>
  <si>
    <t>Wealth at the end of the Year</t>
  </si>
  <si>
    <t>Drawdown/ Withdrawal</t>
  </si>
  <si>
    <t>Wealth at the end of the 10th year</t>
  </si>
  <si>
    <t>Simulation</t>
  </si>
  <si>
    <t>Average wealth at the end of 10th year</t>
  </si>
  <si>
    <t>Objective: What is the probability that the client will be able to donate the amount which she indicated i.e. 1 million</t>
  </si>
  <si>
    <t>Volatility of the wealth value (S.D.)</t>
  </si>
  <si>
    <t>25th Percentile</t>
  </si>
  <si>
    <t>50th Percentile</t>
  </si>
  <si>
    <t>75th Percentile</t>
  </si>
  <si>
    <t>95th Percentile</t>
  </si>
  <si>
    <t>Prob[Success]</t>
  </si>
  <si>
    <t>Out of 1000 Simulations</t>
  </si>
  <si>
    <t xml:space="preserve"> </t>
  </si>
  <si>
    <t>Prob[Success] %</t>
  </si>
  <si>
    <t>There is a 51% chance for the client to meet her objective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</si>
</sst>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2" fontId="3" fillId="0" borderId="1" xfId="1" applyNumberFormat="1" applyFont="1" applyBorder="1"/>
    <xf numFmtId="0" fontId="0" fillId="0" borderId="1" xfId="0" applyBorder="1" applyAlignment="1">
      <alignment horizontal="right"/>
    </xf>
    <xf numFmtId="10" fontId="3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0" fillId="0" borderId="1" xfId="0" applyNumberFormat="1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/>
    <xf numFmtId="43" fontId="0" fillId="2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D2907-F42C-42F4-BB5A-25CD539B3A27}">
  <dimension ref="A1:Q1012"/>
  <sheetViews>
    <sheetView tabSelected="1" topLeftCell="C1" zoomScale="69" zoomScaleNormal="69" workbookViewId="0">
      <selection activeCell="B9" sqref="B9"/>
    </sheetView>
  </sheetViews>
  <sheetFormatPr defaultRowHeight="15" x14ac:dyDescent="0.25"/>
  <cols>
    <col min="1" max="1" width="51.5703125" bestFit="1" customWidth="1"/>
    <col min="2" max="2" width="26.42578125" bestFit="1" customWidth="1"/>
    <col min="3" max="4" width="18.7109375" bestFit="1" customWidth="1"/>
    <col min="5" max="5" width="17" bestFit="1" customWidth="1"/>
    <col min="6" max="6" width="21.5703125" bestFit="1" customWidth="1"/>
    <col min="7" max="7" width="17.28515625" bestFit="1" customWidth="1"/>
    <col min="8" max="8" width="14.28515625" bestFit="1" customWidth="1"/>
    <col min="9" max="9" width="22.28515625" bestFit="1" customWidth="1"/>
    <col min="11" max="11" width="14.140625" customWidth="1"/>
    <col min="12" max="12" width="16.28515625" customWidth="1"/>
    <col min="14" max="14" width="38.28515625" bestFit="1" customWidth="1"/>
    <col min="15" max="15" width="13.140625" bestFit="1" customWidth="1"/>
    <col min="17" max="17" width="106.7109375" bestFit="1" customWidth="1"/>
  </cols>
  <sheetData>
    <row r="1" spans="1:17" x14ac:dyDescent="0.25">
      <c r="A1" s="1"/>
      <c r="B1" s="1"/>
    </row>
    <row r="2" spans="1:17" x14ac:dyDescent="0.25">
      <c r="A2" s="1" t="s">
        <v>0</v>
      </c>
      <c r="B2" s="2">
        <v>2000000</v>
      </c>
    </row>
    <row r="3" spans="1:17" x14ac:dyDescent="0.25">
      <c r="A3" s="1" t="s">
        <v>1</v>
      </c>
      <c r="B3" s="1"/>
    </row>
    <row r="4" spans="1:17" x14ac:dyDescent="0.25">
      <c r="A4" s="3" t="s">
        <v>2</v>
      </c>
      <c r="B4" s="4">
        <v>0.04</v>
      </c>
      <c r="C4" t="s">
        <v>3</v>
      </c>
    </row>
    <row r="5" spans="1:17" x14ac:dyDescent="0.25">
      <c r="A5" s="1" t="s">
        <v>4</v>
      </c>
      <c r="B5" s="1"/>
    </row>
    <row r="6" spans="1:17" x14ac:dyDescent="0.25">
      <c r="A6" s="3" t="s">
        <v>5</v>
      </c>
      <c r="B6" s="4">
        <v>0.12</v>
      </c>
    </row>
    <row r="7" spans="1:17" x14ac:dyDescent="0.25">
      <c r="A7" s="3" t="s">
        <v>6</v>
      </c>
      <c r="B7" s="4">
        <v>0.3</v>
      </c>
    </row>
    <row r="8" spans="1:17" x14ac:dyDescent="0.25">
      <c r="A8" s="1" t="s">
        <v>7</v>
      </c>
      <c r="B8" s="4">
        <v>0.4</v>
      </c>
    </row>
    <row r="9" spans="1:17" x14ac:dyDescent="0.25">
      <c r="A9" s="1" t="s">
        <v>8</v>
      </c>
      <c r="B9" s="2">
        <v>200000</v>
      </c>
    </row>
    <row r="10" spans="1:17" x14ac:dyDescent="0.25">
      <c r="A10" s="1" t="s">
        <v>9</v>
      </c>
      <c r="B10" s="2">
        <v>1000000</v>
      </c>
    </row>
    <row r="12" spans="1:17" ht="45" x14ac:dyDescent="0.25">
      <c r="A12" s="5" t="s">
        <v>10</v>
      </c>
      <c r="B12" s="6" t="s">
        <v>11</v>
      </c>
      <c r="C12" s="6" t="s">
        <v>12</v>
      </c>
      <c r="D12" s="6" t="s">
        <v>13</v>
      </c>
      <c r="E12" s="6" t="s">
        <v>14</v>
      </c>
      <c r="F12" s="6" t="s">
        <v>15</v>
      </c>
      <c r="G12" s="6" t="s">
        <v>16</v>
      </c>
      <c r="H12" s="6" t="s">
        <v>17</v>
      </c>
      <c r="I12" s="6" t="s">
        <v>18</v>
      </c>
      <c r="K12" s="6" t="s">
        <v>19</v>
      </c>
      <c r="L12" s="7">
        <f ca="1">I22</f>
        <v>2189690.2774915351</v>
      </c>
    </row>
    <row r="13" spans="1:17" x14ac:dyDescent="0.25">
      <c r="A13" s="8">
        <v>1</v>
      </c>
      <c r="B13" s="7">
        <f>B2</f>
        <v>2000000</v>
      </c>
      <c r="C13" s="7">
        <f>$B$8*B13</f>
        <v>800000</v>
      </c>
      <c r="D13" s="7">
        <f>B13-C13</f>
        <v>1200000</v>
      </c>
      <c r="E13" s="1">
        <f ca="1">_xlfn.NORM.S.INV(RAND())</f>
        <v>1.6820568424025257</v>
      </c>
      <c r="F13" s="9">
        <f ca="1">1+($B$6+$B$7*E13)</f>
        <v>1.6246170527207577</v>
      </c>
      <c r="G13" s="7">
        <f ca="1">C13*F13+D13*(1+$B$4)</f>
        <v>2547693.6421766062</v>
      </c>
      <c r="H13" s="7">
        <f>$B$9</f>
        <v>200000</v>
      </c>
      <c r="K13" s="1">
        <v>1</v>
      </c>
      <c r="L13" s="9">
        <f t="dataTable" ref="L13:L1012" dt2D="0" dtr="0" r1="E2" ca="1"/>
        <v>2093334.2456884356</v>
      </c>
      <c r="N13" s="1" t="s">
        <v>20</v>
      </c>
      <c r="O13" s="9">
        <f>AVERAGE(L13:L1012)</f>
        <v>1209057.771426711</v>
      </c>
      <c r="Q13" t="s">
        <v>21</v>
      </c>
    </row>
    <row r="14" spans="1:17" x14ac:dyDescent="0.25">
      <c r="A14" s="8">
        <v>2</v>
      </c>
      <c r="B14" s="7">
        <f ca="1">G13-H13</f>
        <v>2347693.6421766062</v>
      </c>
      <c r="C14" s="7">
        <f ca="1">$B$8*B14</f>
        <v>939077.45687064249</v>
      </c>
      <c r="D14" s="7">
        <f ca="1">B14-C14</f>
        <v>1408616.1853059637</v>
      </c>
      <c r="E14" s="1">
        <f ca="1">_xlfn.NORM.S.INV(RAND())</f>
        <v>0.68321082520882148</v>
      </c>
      <c r="F14" s="9">
        <f ca="1">1+($B$6+$B$7*E14)</f>
        <v>1.3249632475626465</v>
      </c>
      <c r="G14" s="7">
        <f ca="1">C14*F14+D14*(1+$B$4)</f>
        <v>2709203.9496863997</v>
      </c>
      <c r="H14" s="7">
        <f>$B$9</f>
        <v>200000</v>
      </c>
      <c r="K14" s="1">
        <v>2</v>
      </c>
      <c r="L14" s="9">
        <v>1937387.228754051</v>
      </c>
      <c r="N14" s="1" t="s">
        <v>22</v>
      </c>
      <c r="O14" s="9">
        <f>_xlfn.STDEV.S(L13:L1012)</f>
        <v>999516.02105542051</v>
      </c>
    </row>
    <row r="15" spans="1:17" x14ac:dyDescent="0.25">
      <c r="A15" s="8">
        <v>3</v>
      </c>
      <c r="B15" s="7">
        <f t="shared" ref="B15:B22" ca="1" si="0">G14-H14</f>
        <v>2509203.9496863997</v>
      </c>
      <c r="C15" s="7">
        <f t="shared" ref="C15:C22" ca="1" si="1">$B$8*B15</f>
        <v>1003681.5798745599</v>
      </c>
      <c r="D15" s="7">
        <f t="shared" ref="D15:D22" ca="1" si="2">B15-C15</f>
        <v>1505522.3698118399</v>
      </c>
      <c r="E15" s="1">
        <f t="shared" ref="E15:E22" ca="1" si="3">_xlfn.NORM.S.INV(RAND())</f>
        <v>1.5944352897578353</v>
      </c>
      <c r="F15" s="9">
        <f t="shared" ref="F15:F22" ca="1" si="4">1+($B$6+$B$7*E15)</f>
        <v>1.5983305869273505</v>
      </c>
      <c r="G15" s="7">
        <f t="shared" ref="G15:G22" ca="1" si="5">C15*F15+D15*(1+$B$4)</f>
        <v>3169958.2332533896</v>
      </c>
      <c r="H15" s="7">
        <f t="shared" ref="H15:H22" si="6">$B$9</f>
        <v>200000</v>
      </c>
      <c r="K15" s="1">
        <v>3</v>
      </c>
      <c r="L15" s="9">
        <v>1725928.1858788321</v>
      </c>
      <c r="N15" s="1" t="s">
        <v>23</v>
      </c>
      <c r="O15" s="9">
        <f>_xlfn.PERCENTILE.EXC(L13:L1012,0.25)</f>
        <v>526120.89037691976</v>
      </c>
    </row>
    <row r="16" spans="1:17" x14ac:dyDescent="0.25">
      <c r="A16" s="8">
        <v>4</v>
      </c>
      <c r="B16" s="7">
        <f t="shared" ca="1" si="0"/>
        <v>2969958.2332533896</v>
      </c>
      <c r="C16" s="7">
        <f t="shared" ca="1" si="1"/>
        <v>1187983.2933013558</v>
      </c>
      <c r="D16" s="7">
        <f t="shared" ca="1" si="2"/>
        <v>1781974.9399520338</v>
      </c>
      <c r="E16" s="1">
        <f t="shared" ca="1" si="3"/>
        <v>-0.47875325783073219</v>
      </c>
      <c r="F16" s="9">
        <f t="shared" ca="1" si="4"/>
        <v>0.97637402265078033</v>
      </c>
      <c r="G16" s="7">
        <f t="shared" ca="1" si="5"/>
        <v>3013169.9644726817</v>
      </c>
      <c r="H16" s="7">
        <f t="shared" si="6"/>
        <v>200000</v>
      </c>
      <c r="K16" s="1">
        <v>4</v>
      </c>
      <c r="L16" s="9">
        <v>2262463.1869679717</v>
      </c>
      <c r="N16" s="1" t="s">
        <v>24</v>
      </c>
      <c r="O16" s="9">
        <f>_xlfn.PERCENTILE.EXC(L13:L1012,0.5)</f>
        <v>1022218.1786756447</v>
      </c>
    </row>
    <row r="17" spans="1:17" x14ac:dyDescent="0.25">
      <c r="A17" s="8">
        <v>5</v>
      </c>
      <c r="B17" s="7">
        <f t="shared" ca="1" si="0"/>
        <v>2813169.9644726817</v>
      </c>
      <c r="C17" s="7">
        <f t="shared" ca="1" si="1"/>
        <v>1125267.9857890727</v>
      </c>
      <c r="D17" s="7">
        <f t="shared" ca="1" si="2"/>
        <v>1687901.978683609</v>
      </c>
      <c r="E17" s="1">
        <f t="shared" ca="1" si="3"/>
        <v>-1.5875428903120559</v>
      </c>
      <c r="F17" s="9">
        <f t="shared" ca="1" si="4"/>
        <v>0.64373713290638324</v>
      </c>
      <c r="G17" s="7">
        <f t="shared" ca="1" si="5"/>
        <v>2479794.844754152</v>
      </c>
      <c r="H17" s="7">
        <f t="shared" si="6"/>
        <v>200000</v>
      </c>
      <c r="K17" s="1">
        <v>5</v>
      </c>
      <c r="L17" s="9">
        <v>660213.75735638884</v>
      </c>
      <c r="N17" s="1" t="s">
        <v>25</v>
      </c>
      <c r="O17" s="9">
        <f>_xlfn.PERCENTILE.EXC(L13:L1048576,0.75)</f>
        <v>1723096.2769498408</v>
      </c>
    </row>
    <row r="18" spans="1:17" x14ac:dyDescent="0.25">
      <c r="A18" s="8">
        <v>6</v>
      </c>
      <c r="B18" s="7">
        <f t="shared" ca="1" si="0"/>
        <v>2279794.844754152</v>
      </c>
      <c r="C18" s="7">
        <f t="shared" ca="1" si="1"/>
        <v>911917.9379016608</v>
      </c>
      <c r="D18" s="7">
        <f t="shared" ca="1" si="2"/>
        <v>1367876.9068524912</v>
      </c>
      <c r="E18" s="1">
        <f t="shared" ca="1" si="3"/>
        <v>0.51184675509348976</v>
      </c>
      <c r="F18" s="9">
        <f t="shared" ca="1" si="4"/>
        <v>1.2735540265280469</v>
      </c>
      <c r="G18" s="7">
        <f t="shared" ca="1" si="5"/>
        <v>2583968.7448044047</v>
      </c>
      <c r="H18" s="7">
        <f t="shared" si="6"/>
        <v>200000</v>
      </c>
      <c r="K18" s="1">
        <v>6</v>
      </c>
      <c r="L18" s="9">
        <v>579941.85597301275</v>
      </c>
      <c r="N18" s="1" t="s">
        <v>26</v>
      </c>
      <c r="O18" s="9">
        <f>_xlfn.PERCENTILE.EXC(L13:L1012,0.95)</f>
        <v>3093226.1850904315</v>
      </c>
    </row>
    <row r="19" spans="1:17" x14ac:dyDescent="0.25">
      <c r="A19" s="8">
        <v>7</v>
      </c>
      <c r="B19" s="7">
        <f t="shared" ca="1" si="0"/>
        <v>2383968.7448044047</v>
      </c>
      <c r="C19" s="7">
        <f t="shared" ca="1" si="1"/>
        <v>953587.49792176194</v>
      </c>
      <c r="D19" s="7">
        <f t="shared" ca="1" si="2"/>
        <v>1430381.2468826426</v>
      </c>
      <c r="E19" s="1">
        <f t="shared" ca="1" si="3"/>
        <v>0.36795530857052394</v>
      </c>
      <c r="F19" s="9">
        <f t="shared" ca="1" si="4"/>
        <v>1.2303865925711572</v>
      </c>
      <c r="G19" s="7">
        <f t="shared" ca="1" si="5"/>
        <v>2660877.7690443601</v>
      </c>
      <c r="H19" s="7">
        <f t="shared" si="6"/>
        <v>200000</v>
      </c>
      <c r="K19" s="1">
        <v>7</v>
      </c>
      <c r="L19" s="9">
        <v>1822130.2305478156</v>
      </c>
      <c r="N19" s="1" t="s">
        <v>27</v>
      </c>
      <c r="O19" s="1">
        <f>COUNTIF(L13:L1012,"&gt;="&amp;B10)/COUNT(L13:L1012)</f>
        <v>0.50700000000000001</v>
      </c>
      <c r="Q19" t="s">
        <v>28</v>
      </c>
    </row>
    <row r="20" spans="1:17" x14ac:dyDescent="0.25">
      <c r="A20" s="8">
        <v>8</v>
      </c>
      <c r="B20" s="7">
        <f t="shared" ca="1" si="0"/>
        <v>2460877.7690443601</v>
      </c>
      <c r="C20" s="7">
        <f t="shared" ca="1" si="1"/>
        <v>984351.10761774413</v>
      </c>
      <c r="D20" s="7">
        <f t="shared" ca="1" si="2"/>
        <v>1476526.6614266159</v>
      </c>
      <c r="E20" s="1">
        <f t="shared" ca="1" si="3"/>
        <v>0.85579841780025145</v>
      </c>
      <c r="F20" s="9">
        <f t="shared" ca="1" si="4"/>
        <v>1.3767395253400754</v>
      </c>
      <c r="G20" s="7">
        <f t="shared" ca="1" si="5"/>
        <v>2890782.8045533113</v>
      </c>
      <c r="H20" s="7">
        <f t="shared" si="6"/>
        <v>200000</v>
      </c>
      <c r="K20" s="1">
        <v>8</v>
      </c>
      <c r="L20" s="9">
        <v>1113823.7350742412</v>
      </c>
      <c r="M20" t="s">
        <v>29</v>
      </c>
      <c r="N20" s="1" t="s">
        <v>30</v>
      </c>
      <c r="O20" s="1">
        <f>O19*100</f>
        <v>50.7</v>
      </c>
      <c r="Q20" t="s">
        <v>31</v>
      </c>
    </row>
    <row r="21" spans="1:17" x14ac:dyDescent="0.25">
      <c r="A21" s="8">
        <v>9</v>
      </c>
      <c r="B21" s="7">
        <f t="shared" ca="1" si="0"/>
        <v>2690782.8045533113</v>
      </c>
      <c r="C21" s="7">
        <f t="shared" ca="1" si="1"/>
        <v>1076313.1218213246</v>
      </c>
      <c r="D21" s="7">
        <f t="shared" ca="1" si="2"/>
        <v>1614469.6827319867</v>
      </c>
      <c r="E21" s="1">
        <f t="shared" ca="1" si="3"/>
        <v>-0.12137598176905341</v>
      </c>
      <c r="F21" s="9">
        <f t="shared" ca="1" si="4"/>
        <v>1.0835872054692839</v>
      </c>
      <c r="G21" s="7">
        <f t="shared" ca="1" si="5"/>
        <v>2845327.5979255559</v>
      </c>
      <c r="H21" s="7">
        <f t="shared" si="6"/>
        <v>200000</v>
      </c>
      <c r="K21" s="1">
        <v>9</v>
      </c>
      <c r="L21" s="9">
        <v>1986358.6028290167</v>
      </c>
    </row>
    <row r="22" spans="1:17" x14ac:dyDescent="0.25">
      <c r="A22" s="8">
        <v>10</v>
      </c>
      <c r="B22" s="7">
        <f t="shared" ca="1" si="0"/>
        <v>2645327.5979255559</v>
      </c>
      <c r="C22" s="7">
        <f t="shared" ca="1" si="1"/>
        <v>1058131.0391702224</v>
      </c>
      <c r="D22" s="7">
        <f t="shared" ca="1" si="2"/>
        <v>1587196.5587553335</v>
      </c>
      <c r="E22" s="1">
        <f t="shared" ca="1" si="3"/>
        <v>-1.4053108451623968</v>
      </c>
      <c r="F22" s="9">
        <f t="shared" ca="1" si="4"/>
        <v>0.69840674645128098</v>
      </c>
      <c r="G22" s="7">
        <f t="shared" ca="1" si="5"/>
        <v>2389690.2774915351</v>
      </c>
      <c r="H22" s="7">
        <f t="shared" si="6"/>
        <v>200000</v>
      </c>
      <c r="I22" s="10">
        <f ca="1">G22-H22</f>
        <v>2189690.2774915351</v>
      </c>
      <c r="K22" s="1">
        <v>10</v>
      </c>
      <c r="L22" s="9">
        <v>-221576.26943325638</v>
      </c>
    </row>
    <row r="23" spans="1:17" x14ac:dyDescent="0.25">
      <c r="K23" s="1">
        <v>11</v>
      </c>
      <c r="L23" s="9">
        <v>841408.58537993417</v>
      </c>
    </row>
    <row r="24" spans="1:17" x14ac:dyDescent="0.25">
      <c r="K24" s="1">
        <v>12</v>
      </c>
      <c r="L24" s="9">
        <v>185383.1582351632</v>
      </c>
    </row>
    <row r="25" spans="1:17" x14ac:dyDescent="0.25">
      <c r="K25" s="1">
        <v>13</v>
      </c>
      <c r="L25" s="9">
        <v>990317.07484395104</v>
      </c>
    </row>
    <row r="26" spans="1:17" x14ac:dyDescent="0.25">
      <c r="K26" s="1">
        <v>14</v>
      </c>
      <c r="L26" s="9">
        <v>1108065.0142610406</v>
      </c>
    </row>
    <row r="27" spans="1:17" x14ac:dyDescent="0.25">
      <c r="K27" s="1">
        <v>15</v>
      </c>
      <c r="L27" s="9">
        <v>495503.99668669514</v>
      </c>
    </row>
    <row r="28" spans="1:17" x14ac:dyDescent="0.25">
      <c r="K28" s="1">
        <v>16</v>
      </c>
      <c r="L28" s="9">
        <v>2860616.7531378451</v>
      </c>
    </row>
    <row r="29" spans="1:17" x14ac:dyDescent="0.25">
      <c r="K29" s="1">
        <v>17</v>
      </c>
      <c r="L29" s="9">
        <v>1270554.5552218987</v>
      </c>
    </row>
    <row r="30" spans="1:17" x14ac:dyDescent="0.25">
      <c r="K30" s="1">
        <v>18</v>
      </c>
      <c r="L30" s="9">
        <v>915454.46196326916</v>
      </c>
    </row>
    <row r="31" spans="1:17" x14ac:dyDescent="0.25">
      <c r="K31" s="1">
        <v>19</v>
      </c>
      <c r="L31" s="9">
        <v>690795.37169722584</v>
      </c>
    </row>
    <row r="32" spans="1:17" x14ac:dyDescent="0.25">
      <c r="K32" s="1">
        <v>20</v>
      </c>
      <c r="L32" s="9">
        <v>773960.482756607</v>
      </c>
    </row>
    <row r="33" spans="11:12" x14ac:dyDescent="0.25">
      <c r="K33" s="1">
        <v>21</v>
      </c>
      <c r="L33" s="9">
        <v>1162892.3082256396</v>
      </c>
    </row>
    <row r="34" spans="11:12" x14ac:dyDescent="0.25">
      <c r="K34" s="1">
        <v>22</v>
      </c>
      <c r="L34" s="9">
        <v>2953264.655255761</v>
      </c>
    </row>
    <row r="35" spans="11:12" x14ac:dyDescent="0.25">
      <c r="K35" s="1">
        <v>23</v>
      </c>
      <c r="L35" s="9">
        <v>1470197.8667611917</v>
      </c>
    </row>
    <row r="36" spans="11:12" x14ac:dyDescent="0.25">
      <c r="K36" s="1">
        <v>24</v>
      </c>
      <c r="L36" s="9">
        <v>963283.15644049877</v>
      </c>
    </row>
    <row r="37" spans="11:12" x14ac:dyDescent="0.25">
      <c r="K37" s="1">
        <v>25</v>
      </c>
      <c r="L37" s="9">
        <v>2319365.4171431051</v>
      </c>
    </row>
    <row r="38" spans="11:12" x14ac:dyDescent="0.25">
      <c r="K38" s="1">
        <v>26</v>
      </c>
      <c r="L38" s="9">
        <v>2355981.9837577529</v>
      </c>
    </row>
    <row r="39" spans="11:12" x14ac:dyDescent="0.25">
      <c r="K39" s="1">
        <v>27</v>
      </c>
      <c r="L39" s="9">
        <v>709787.39568472002</v>
      </c>
    </row>
    <row r="40" spans="11:12" x14ac:dyDescent="0.25">
      <c r="K40" s="1">
        <v>28</v>
      </c>
      <c r="L40" s="9">
        <v>4259215.8384769084</v>
      </c>
    </row>
    <row r="41" spans="11:12" x14ac:dyDescent="0.25">
      <c r="K41" s="1">
        <v>29</v>
      </c>
      <c r="L41" s="9">
        <v>2390225.8903910434</v>
      </c>
    </row>
    <row r="42" spans="11:12" x14ac:dyDescent="0.25">
      <c r="K42" s="1">
        <v>30</v>
      </c>
      <c r="L42" s="9">
        <v>1472087.7845368886</v>
      </c>
    </row>
    <row r="43" spans="11:12" x14ac:dyDescent="0.25">
      <c r="K43" s="1">
        <v>31</v>
      </c>
      <c r="L43" s="9">
        <v>2518660.2113560708</v>
      </c>
    </row>
    <row r="44" spans="11:12" x14ac:dyDescent="0.25">
      <c r="K44" s="1">
        <v>32</v>
      </c>
      <c r="L44" s="9">
        <v>1294395.8830421681</v>
      </c>
    </row>
    <row r="45" spans="11:12" x14ac:dyDescent="0.25">
      <c r="K45" s="1">
        <v>33</v>
      </c>
      <c r="L45" s="9">
        <v>888197.00044890027</v>
      </c>
    </row>
    <row r="46" spans="11:12" x14ac:dyDescent="0.25">
      <c r="K46" s="1">
        <v>34</v>
      </c>
      <c r="L46" s="9">
        <v>1881843.8616984254</v>
      </c>
    </row>
    <row r="47" spans="11:12" x14ac:dyDescent="0.25">
      <c r="K47" s="1">
        <v>35</v>
      </c>
      <c r="L47" s="9">
        <v>1078643.8744649161</v>
      </c>
    </row>
    <row r="48" spans="11:12" x14ac:dyDescent="0.25">
      <c r="K48" s="1">
        <v>36</v>
      </c>
      <c r="L48" s="9">
        <v>1026471.4703161248</v>
      </c>
    </row>
    <row r="49" spans="11:12" x14ac:dyDescent="0.25">
      <c r="K49" s="1">
        <v>37</v>
      </c>
      <c r="L49" s="9">
        <v>1647545.201043776</v>
      </c>
    </row>
    <row r="50" spans="11:12" x14ac:dyDescent="0.25">
      <c r="K50" s="1">
        <v>38</v>
      </c>
      <c r="L50" s="9">
        <v>523911.76170753851</v>
      </c>
    </row>
    <row r="51" spans="11:12" x14ac:dyDescent="0.25">
      <c r="K51" s="1">
        <v>39</v>
      </c>
      <c r="L51" s="9">
        <v>379918.87234503496</v>
      </c>
    </row>
    <row r="52" spans="11:12" x14ac:dyDescent="0.25">
      <c r="K52" s="1">
        <v>40</v>
      </c>
      <c r="L52" s="9">
        <v>3238064.2671470642</v>
      </c>
    </row>
    <row r="53" spans="11:12" x14ac:dyDescent="0.25">
      <c r="K53" s="1">
        <v>41</v>
      </c>
      <c r="L53" s="9">
        <v>1479080.4701514351</v>
      </c>
    </row>
    <row r="54" spans="11:12" x14ac:dyDescent="0.25">
      <c r="K54" s="1">
        <v>42</v>
      </c>
      <c r="L54" s="9">
        <v>970595.92067266768</v>
      </c>
    </row>
    <row r="55" spans="11:12" x14ac:dyDescent="0.25">
      <c r="K55" s="1">
        <v>43</v>
      </c>
      <c r="L55" s="9">
        <v>2048774.7534794495</v>
      </c>
    </row>
    <row r="56" spans="11:12" x14ac:dyDescent="0.25">
      <c r="K56" s="1">
        <v>44</v>
      </c>
      <c r="L56" s="9">
        <v>70338.693748564809</v>
      </c>
    </row>
    <row r="57" spans="11:12" x14ac:dyDescent="0.25">
      <c r="K57" s="1">
        <v>45</v>
      </c>
      <c r="L57" s="9">
        <v>471730.30714081996</v>
      </c>
    </row>
    <row r="58" spans="11:12" x14ac:dyDescent="0.25">
      <c r="K58" s="1">
        <v>46</v>
      </c>
      <c r="L58" s="9">
        <v>280203.66159134416</v>
      </c>
    </row>
    <row r="59" spans="11:12" x14ac:dyDescent="0.25">
      <c r="K59" s="1">
        <v>47</v>
      </c>
      <c r="L59" s="9">
        <v>869240.34622998652</v>
      </c>
    </row>
    <row r="60" spans="11:12" x14ac:dyDescent="0.25">
      <c r="K60" s="1">
        <v>48</v>
      </c>
      <c r="L60" s="9">
        <v>73132.201462417492</v>
      </c>
    </row>
    <row r="61" spans="11:12" x14ac:dyDescent="0.25">
      <c r="K61" s="1">
        <v>49</v>
      </c>
      <c r="L61" s="9">
        <v>797102.41735058953</v>
      </c>
    </row>
    <row r="62" spans="11:12" x14ac:dyDescent="0.25">
      <c r="K62" s="1">
        <v>50</v>
      </c>
      <c r="L62" s="9">
        <v>555586.04108862218</v>
      </c>
    </row>
    <row r="63" spans="11:12" x14ac:dyDescent="0.25">
      <c r="K63" s="1">
        <v>51</v>
      </c>
      <c r="L63" s="9">
        <v>3616305.0806654962</v>
      </c>
    </row>
    <row r="64" spans="11:12" x14ac:dyDescent="0.25">
      <c r="K64" s="1">
        <v>52</v>
      </c>
      <c r="L64" s="9">
        <v>1689585.6214589742</v>
      </c>
    </row>
    <row r="65" spans="11:12" x14ac:dyDescent="0.25">
      <c r="K65" s="1">
        <v>53</v>
      </c>
      <c r="L65" s="9">
        <v>1994467.2053613476</v>
      </c>
    </row>
    <row r="66" spans="11:12" x14ac:dyDescent="0.25">
      <c r="K66" s="1">
        <v>54</v>
      </c>
      <c r="L66" s="9">
        <v>136717.24476737052</v>
      </c>
    </row>
    <row r="67" spans="11:12" x14ac:dyDescent="0.25">
      <c r="K67" s="1">
        <v>55</v>
      </c>
      <c r="L67" s="9">
        <v>1811922.4635020266</v>
      </c>
    </row>
    <row r="68" spans="11:12" x14ac:dyDescent="0.25">
      <c r="K68" s="1">
        <v>56</v>
      </c>
      <c r="L68" s="9">
        <v>714316.23539288994</v>
      </c>
    </row>
    <row r="69" spans="11:12" x14ac:dyDescent="0.25">
      <c r="K69" s="1">
        <v>57</v>
      </c>
      <c r="L69" s="9">
        <v>741714.47900834982</v>
      </c>
    </row>
    <row r="70" spans="11:12" x14ac:dyDescent="0.25">
      <c r="K70" s="1">
        <v>58</v>
      </c>
      <c r="L70" s="9">
        <v>2497722.7180575621</v>
      </c>
    </row>
    <row r="71" spans="11:12" x14ac:dyDescent="0.25">
      <c r="K71" s="1">
        <v>59</v>
      </c>
      <c r="L71" s="9">
        <v>-597698.71467386396</v>
      </c>
    </row>
    <row r="72" spans="11:12" x14ac:dyDescent="0.25">
      <c r="K72" s="1">
        <v>60</v>
      </c>
      <c r="L72" s="9">
        <v>1824746.5222249001</v>
      </c>
    </row>
    <row r="73" spans="11:12" x14ac:dyDescent="0.25">
      <c r="K73" s="1">
        <v>61</v>
      </c>
      <c r="L73" s="9">
        <v>1122677.5810616198</v>
      </c>
    </row>
    <row r="74" spans="11:12" x14ac:dyDescent="0.25">
      <c r="K74" s="1">
        <v>62</v>
      </c>
      <c r="L74" s="9">
        <v>525934.69048610236</v>
      </c>
    </row>
    <row r="75" spans="11:12" x14ac:dyDescent="0.25">
      <c r="K75" s="1">
        <v>63</v>
      </c>
      <c r="L75" s="9">
        <v>4235.1750523130759</v>
      </c>
    </row>
    <row r="76" spans="11:12" x14ac:dyDescent="0.25">
      <c r="K76" s="1">
        <v>64</v>
      </c>
      <c r="L76" s="9">
        <v>3571285.380002303</v>
      </c>
    </row>
    <row r="77" spans="11:12" x14ac:dyDescent="0.25">
      <c r="K77" s="1">
        <v>65</v>
      </c>
      <c r="L77" s="9">
        <v>1213011.0295958449</v>
      </c>
    </row>
    <row r="78" spans="11:12" x14ac:dyDescent="0.25">
      <c r="K78" s="1">
        <v>66</v>
      </c>
      <c r="L78" s="9">
        <v>396740.32617889636</v>
      </c>
    </row>
    <row r="79" spans="11:12" x14ac:dyDescent="0.25">
      <c r="K79" s="1">
        <v>67</v>
      </c>
      <c r="L79" s="9">
        <v>1730147.2811538698</v>
      </c>
    </row>
    <row r="80" spans="11:12" x14ac:dyDescent="0.25">
      <c r="K80" s="1">
        <v>68</v>
      </c>
      <c r="L80" s="9">
        <v>1132701.6306824239</v>
      </c>
    </row>
    <row r="81" spans="11:12" x14ac:dyDescent="0.25">
      <c r="K81" s="1">
        <v>69</v>
      </c>
      <c r="L81" s="9">
        <v>2606784.7093081949</v>
      </c>
    </row>
    <row r="82" spans="11:12" x14ac:dyDescent="0.25">
      <c r="K82" s="1">
        <v>70</v>
      </c>
      <c r="L82" s="9">
        <v>830159.20161722437</v>
      </c>
    </row>
    <row r="83" spans="11:12" x14ac:dyDescent="0.25">
      <c r="K83" s="1">
        <v>71</v>
      </c>
      <c r="L83" s="9">
        <v>710957.26266340795</v>
      </c>
    </row>
    <row r="84" spans="11:12" x14ac:dyDescent="0.25">
      <c r="K84" s="1">
        <v>72</v>
      </c>
      <c r="L84" s="9">
        <v>398092.90157397452</v>
      </c>
    </row>
    <row r="85" spans="11:12" x14ac:dyDescent="0.25">
      <c r="K85" s="1">
        <v>73</v>
      </c>
      <c r="L85" s="9">
        <v>1446399.7174932144</v>
      </c>
    </row>
    <row r="86" spans="11:12" x14ac:dyDescent="0.25">
      <c r="K86" s="1">
        <v>74</v>
      </c>
      <c r="L86" s="9">
        <v>611685.18426848273</v>
      </c>
    </row>
    <row r="87" spans="11:12" x14ac:dyDescent="0.25">
      <c r="K87" s="1">
        <v>75</v>
      </c>
      <c r="L87" s="9">
        <v>894305.90541700739</v>
      </c>
    </row>
    <row r="88" spans="11:12" x14ac:dyDescent="0.25">
      <c r="K88" s="1">
        <v>76</v>
      </c>
      <c r="L88" s="9">
        <v>1282818.4255976244</v>
      </c>
    </row>
    <row r="89" spans="11:12" x14ac:dyDescent="0.25">
      <c r="K89" s="1">
        <v>77</v>
      </c>
      <c r="L89" s="9">
        <v>1497383.8715083003</v>
      </c>
    </row>
    <row r="90" spans="11:12" x14ac:dyDescent="0.25">
      <c r="K90" s="1">
        <v>78</v>
      </c>
      <c r="L90" s="9">
        <v>1635371.8813749235</v>
      </c>
    </row>
    <row r="91" spans="11:12" x14ac:dyDescent="0.25">
      <c r="K91" s="1">
        <v>79</v>
      </c>
      <c r="L91" s="9">
        <v>787229.00481545401</v>
      </c>
    </row>
    <row r="92" spans="11:12" x14ac:dyDescent="0.25">
      <c r="K92" s="1">
        <v>80</v>
      </c>
      <c r="L92" s="9">
        <v>1874895.292448076</v>
      </c>
    </row>
    <row r="93" spans="11:12" x14ac:dyDescent="0.25">
      <c r="K93" s="1">
        <v>81</v>
      </c>
      <c r="L93" s="9">
        <v>1209088.5817238586</v>
      </c>
    </row>
    <row r="94" spans="11:12" x14ac:dyDescent="0.25">
      <c r="K94" s="1">
        <v>82</v>
      </c>
      <c r="L94" s="9">
        <v>144939.54567689623</v>
      </c>
    </row>
    <row r="95" spans="11:12" x14ac:dyDescent="0.25">
      <c r="K95" s="1">
        <v>83</v>
      </c>
      <c r="L95" s="9">
        <v>994840.03744289698</v>
      </c>
    </row>
    <row r="96" spans="11:12" x14ac:dyDescent="0.25">
      <c r="K96" s="1">
        <v>84</v>
      </c>
      <c r="L96" s="9">
        <v>-292472.77029078006</v>
      </c>
    </row>
    <row r="97" spans="11:12" x14ac:dyDescent="0.25">
      <c r="K97" s="1">
        <v>85</v>
      </c>
      <c r="L97" s="9">
        <v>736275.10836150311</v>
      </c>
    </row>
    <row r="98" spans="11:12" x14ac:dyDescent="0.25">
      <c r="K98" s="1">
        <v>86</v>
      </c>
      <c r="L98" s="9">
        <v>876570.93812888931</v>
      </c>
    </row>
    <row r="99" spans="11:12" x14ac:dyDescent="0.25">
      <c r="K99" s="1">
        <v>87</v>
      </c>
      <c r="L99" s="9">
        <v>1056609.2100410482</v>
      </c>
    </row>
    <row r="100" spans="11:12" x14ac:dyDescent="0.25">
      <c r="K100" s="1">
        <v>88</v>
      </c>
      <c r="L100" s="9">
        <v>1844789.0552613856</v>
      </c>
    </row>
    <row r="101" spans="11:12" x14ac:dyDescent="0.25">
      <c r="K101" s="1">
        <v>89</v>
      </c>
      <c r="L101" s="9">
        <v>1263921.6752152734</v>
      </c>
    </row>
    <row r="102" spans="11:12" x14ac:dyDescent="0.25">
      <c r="K102" s="1">
        <v>90</v>
      </c>
      <c r="L102" s="9">
        <v>282518.02440574788</v>
      </c>
    </row>
    <row r="103" spans="11:12" x14ac:dyDescent="0.25">
      <c r="K103" s="1">
        <v>91</v>
      </c>
      <c r="L103" s="9">
        <v>2226003.5380496532</v>
      </c>
    </row>
    <row r="104" spans="11:12" x14ac:dyDescent="0.25">
      <c r="K104" s="1">
        <v>92</v>
      </c>
      <c r="L104" s="9">
        <v>1583594.8421522374</v>
      </c>
    </row>
    <row r="105" spans="11:12" x14ac:dyDescent="0.25">
      <c r="K105" s="1">
        <v>93</v>
      </c>
      <c r="L105" s="9">
        <v>-86736.202367222373</v>
      </c>
    </row>
    <row r="106" spans="11:12" x14ac:dyDescent="0.25">
      <c r="K106" s="1">
        <v>94</v>
      </c>
      <c r="L106" s="9">
        <v>1543875.0387948207</v>
      </c>
    </row>
    <row r="107" spans="11:12" x14ac:dyDescent="0.25">
      <c r="K107" s="1">
        <v>95</v>
      </c>
      <c r="L107" s="9">
        <v>622715.52057926112</v>
      </c>
    </row>
    <row r="108" spans="11:12" x14ac:dyDescent="0.25">
      <c r="K108" s="1">
        <v>96</v>
      </c>
      <c r="L108" s="9">
        <v>775346.11405877629</v>
      </c>
    </row>
    <row r="109" spans="11:12" x14ac:dyDescent="0.25">
      <c r="K109" s="1">
        <v>97</v>
      </c>
      <c r="L109" s="9">
        <v>101848.84204241034</v>
      </c>
    </row>
    <row r="110" spans="11:12" x14ac:dyDescent="0.25">
      <c r="K110" s="1">
        <v>98</v>
      </c>
      <c r="L110" s="9">
        <v>473789.46655418363</v>
      </c>
    </row>
    <row r="111" spans="11:12" x14ac:dyDescent="0.25">
      <c r="K111" s="1">
        <v>99</v>
      </c>
      <c r="L111" s="9">
        <v>2584837.4700191948</v>
      </c>
    </row>
    <row r="112" spans="11:12" x14ac:dyDescent="0.25">
      <c r="K112" s="1">
        <v>100</v>
      </c>
      <c r="L112" s="9">
        <v>-177768.95257622984</v>
      </c>
    </row>
    <row r="113" spans="11:12" x14ac:dyDescent="0.25">
      <c r="K113" s="1">
        <v>101</v>
      </c>
      <c r="L113" s="9">
        <v>1093716.3577607221</v>
      </c>
    </row>
    <row r="114" spans="11:12" x14ac:dyDescent="0.25">
      <c r="K114" s="1">
        <v>102</v>
      </c>
      <c r="L114" s="9">
        <v>556010.45143783605</v>
      </c>
    </row>
    <row r="115" spans="11:12" x14ac:dyDescent="0.25">
      <c r="K115" s="1">
        <v>103</v>
      </c>
      <c r="L115" s="9">
        <v>1751493.9844556698</v>
      </c>
    </row>
    <row r="116" spans="11:12" x14ac:dyDescent="0.25">
      <c r="K116" s="1">
        <v>104</v>
      </c>
      <c r="L116" s="9">
        <v>-193645.75724815216</v>
      </c>
    </row>
    <row r="117" spans="11:12" x14ac:dyDescent="0.25">
      <c r="K117" s="1">
        <v>105</v>
      </c>
      <c r="L117" s="9">
        <v>703168.41388530424</v>
      </c>
    </row>
    <row r="118" spans="11:12" x14ac:dyDescent="0.25">
      <c r="K118" s="1">
        <v>106</v>
      </c>
      <c r="L118" s="9">
        <v>1723471.9550217334</v>
      </c>
    </row>
    <row r="119" spans="11:12" x14ac:dyDescent="0.25">
      <c r="K119" s="1">
        <v>107</v>
      </c>
      <c r="L119" s="9">
        <v>866776.56640547281</v>
      </c>
    </row>
    <row r="120" spans="11:12" x14ac:dyDescent="0.25">
      <c r="K120" s="1">
        <v>108</v>
      </c>
      <c r="L120" s="9">
        <v>1342149.2994934865</v>
      </c>
    </row>
    <row r="121" spans="11:12" x14ac:dyDescent="0.25">
      <c r="K121" s="1">
        <v>109</v>
      </c>
      <c r="L121" s="9">
        <v>1202904.2772038975</v>
      </c>
    </row>
    <row r="122" spans="11:12" x14ac:dyDescent="0.25">
      <c r="K122" s="1">
        <v>110</v>
      </c>
      <c r="L122" s="9">
        <v>1574172.8997200211</v>
      </c>
    </row>
    <row r="123" spans="11:12" x14ac:dyDescent="0.25">
      <c r="K123" s="1">
        <v>111</v>
      </c>
      <c r="L123" s="9">
        <v>-279994.36452850694</v>
      </c>
    </row>
    <row r="124" spans="11:12" x14ac:dyDescent="0.25">
      <c r="K124" s="1">
        <v>112</v>
      </c>
      <c r="L124" s="9">
        <v>909331.38361059595</v>
      </c>
    </row>
    <row r="125" spans="11:12" x14ac:dyDescent="0.25">
      <c r="K125" s="1">
        <v>113</v>
      </c>
      <c r="L125" s="9">
        <v>954959.58332882356</v>
      </c>
    </row>
    <row r="126" spans="11:12" x14ac:dyDescent="0.25">
      <c r="K126" s="1">
        <v>114</v>
      </c>
      <c r="L126" s="9">
        <v>2361307.2579321098</v>
      </c>
    </row>
    <row r="127" spans="11:12" x14ac:dyDescent="0.25">
      <c r="K127" s="1">
        <v>115</v>
      </c>
      <c r="L127" s="9">
        <v>342194.96446148516</v>
      </c>
    </row>
    <row r="128" spans="11:12" x14ac:dyDescent="0.25">
      <c r="K128" s="1">
        <v>116</v>
      </c>
      <c r="L128" s="9">
        <v>-310288.42394206615</v>
      </c>
    </row>
    <row r="129" spans="11:12" x14ac:dyDescent="0.25">
      <c r="K129" s="1">
        <v>117</v>
      </c>
      <c r="L129" s="9">
        <v>948826.56858731457</v>
      </c>
    </row>
    <row r="130" spans="11:12" x14ac:dyDescent="0.25">
      <c r="K130" s="1">
        <v>118</v>
      </c>
      <c r="L130" s="9">
        <v>1460516.6809991463</v>
      </c>
    </row>
    <row r="131" spans="11:12" x14ac:dyDescent="0.25">
      <c r="K131" s="1">
        <v>119</v>
      </c>
      <c r="L131" s="9">
        <v>2262536.0192681518</v>
      </c>
    </row>
    <row r="132" spans="11:12" x14ac:dyDescent="0.25">
      <c r="K132" s="1">
        <v>120</v>
      </c>
      <c r="L132" s="9">
        <v>420442.28907756857</v>
      </c>
    </row>
    <row r="133" spans="11:12" x14ac:dyDescent="0.25">
      <c r="K133" s="1">
        <v>121</v>
      </c>
      <c r="L133" s="9">
        <v>2063114.8876811322</v>
      </c>
    </row>
    <row r="134" spans="11:12" x14ac:dyDescent="0.25">
      <c r="K134" s="1">
        <v>122</v>
      </c>
      <c r="L134" s="9">
        <v>436960.71158616641</v>
      </c>
    </row>
    <row r="135" spans="11:12" x14ac:dyDescent="0.25">
      <c r="K135" s="1">
        <v>123</v>
      </c>
      <c r="L135" s="9">
        <v>813439.53877300501</v>
      </c>
    </row>
    <row r="136" spans="11:12" x14ac:dyDescent="0.25">
      <c r="K136" s="1">
        <v>124</v>
      </c>
      <c r="L136" s="9">
        <v>537054.01923214016</v>
      </c>
    </row>
    <row r="137" spans="11:12" x14ac:dyDescent="0.25">
      <c r="K137" s="1">
        <v>125</v>
      </c>
      <c r="L137" s="9">
        <v>1025833.8194983341</v>
      </c>
    </row>
    <row r="138" spans="11:12" x14ac:dyDescent="0.25">
      <c r="K138" s="1">
        <v>126</v>
      </c>
      <c r="L138" s="9">
        <v>1633935.7279059421</v>
      </c>
    </row>
    <row r="139" spans="11:12" x14ac:dyDescent="0.25">
      <c r="K139" s="1">
        <v>127</v>
      </c>
      <c r="L139" s="9">
        <v>22813.755706059455</v>
      </c>
    </row>
    <row r="140" spans="11:12" x14ac:dyDescent="0.25">
      <c r="K140" s="1">
        <v>128</v>
      </c>
      <c r="L140" s="9">
        <v>777060.69756587048</v>
      </c>
    </row>
    <row r="141" spans="11:12" x14ac:dyDescent="0.25">
      <c r="K141" s="1">
        <v>129</v>
      </c>
      <c r="L141" s="9">
        <v>352078.74450285896</v>
      </c>
    </row>
    <row r="142" spans="11:12" x14ac:dyDescent="0.25">
      <c r="K142" s="1">
        <v>130</v>
      </c>
      <c r="L142" s="9">
        <v>1787540.1656260446</v>
      </c>
    </row>
    <row r="143" spans="11:12" x14ac:dyDescent="0.25">
      <c r="K143" s="1">
        <v>131</v>
      </c>
      <c r="L143" s="9">
        <v>79399.287735529128</v>
      </c>
    </row>
    <row r="144" spans="11:12" x14ac:dyDescent="0.25">
      <c r="K144" s="1">
        <v>132</v>
      </c>
      <c r="L144" s="9">
        <v>1703734.5023850799</v>
      </c>
    </row>
    <row r="145" spans="11:12" x14ac:dyDescent="0.25">
      <c r="K145" s="1">
        <v>133</v>
      </c>
      <c r="L145" s="9">
        <v>3084054.6754070674</v>
      </c>
    </row>
    <row r="146" spans="11:12" x14ac:dyDescent="0.25">
      <c r="K146" s="1">
        <v>134</v>
      </c>
      <c r="L146" s="9">
        <v>846480.52807679214</v>
      </c>
    </row>
    <row r="147" spans="11:12" x14ac:dyDescent="0.25">
      <c r="K147" s="1">
        <v>135</v>
      </c>
      <c r="L147" s="9">
        <v>-370569.78983370215</v>
      </c>
    </row>
    <row r="148" spans="11:12" x14ac:dyDescent="0.25">
      <c r="K148" s="1">
        <v>136</v>
      </c>
      <c r="L148" s="9">
        <v>2352297.9289479991</v>
      </c>
    </row>
    <row r="149" spans="11:12" x14ac:dyDescent="0.25">
      <c r="K149" s="1">
        <v>137</v>
      </c>
      <c r="L149" s="9">
        <v>1391766.6663229568</v>
      </c>
    </row>
    <row r="150" spans="11:12" x14ac:dyDescent="0.25">
      <c r="K150" s="1">
        <v>138</v>
      </c>
      <c r="L150" s="9">
        <v>453248.59715611232</v>
      </c>
    </row>
    <row r="151" spans="11:12" x14ac:dyDescent="0.25">
      <c r="K151" s="1">
        <v>139</v>
      </c>
      <c r="L151" s="9">
        <v>-254164.1744188859</v>
      </c>
    </row>
    <row r="152" spans="11:12" x14ac:dyDescent="0.25">
      <c r="K152" s="1">
        <v>140</v>
      </c>
      <c r="L152" s="9">
        <v>275301.73029989586</v>
      </c>
    </row>
    <row r="153" spans="11:12" x14ac:dyDescent="0.25">
      <c r="K153" s="1">
        <v>141</v>
      </c>
      <c r="L153" s="9">
        <v>1260478.7676837468</v>
      </c>
    </row>
    <row r="154" spans="11:12" x14ac:dyDescent="0.25">
      <c r="K154" s="1">
        <v>142</v>
      </c>
      <c r="L154" s="9">
        <v>4118828.6191897374</v>
      </c>
    </row>
    <row r="155" spans="11:12" x14ac:dyDescent="0.25">
      <c r="K155" s="1">
        <v>143</v>
      </c>
      <c r="L155" s="9">
        <v>1172124.4908233103</v>
      </c>
    </row>
    <row r="156" spans="11:12" x14ac:dyDescent="0.25">
      <c r="K156" s="1">
        <v>144</v>
      </c>
      <c r="L156" s="9">
        <v>760909.10202155984</v>
      </c>
    </row>
    <row r="157" spans="11:12" x14ac:dyDescent="0.25">
      <c r="K157" s="1">
        <v>145</v>
      </c>
      <c r="L157" s="9">
        <v>744029.9587723224</v>
      </c>
    </row>
    <row r="158" spans="11:12" x14ac:dyDescent="0.25">
      <c r="K158" s="1">
        <v>146</v>
      </c>
      <c r="L158" s="9">
        <v>98490.33433675993</v>
      </c>
    </row>
    <row r="159" spans="11:12" x14ac:dyDescent="0.25">
      <c r="K159" s="1">
        <v>147</v>
      </c>
      <c r="L159" s="9">
        <v>2055236.7671579965</v>
      </c>
    </row>
    <row r="160" spans="11:12" x14ac:dyDescent="0.25">
      <c r="K160" s="1">
        <v>148</v>
      </c>
      <c r="L160" s="9">
        <v>1247399.5823499151</v>
      </c>
    </row>
    <row r="161" spans="11:12" x14ac:dyDescent="0.25">
      <c r="K161" s="1">
        <v>149</v>
      </c>
      <c r="L161" s="9">
        <v>1136351.6338590395</v>
      </c>
    </row>
    <row r="162" spans="11:12" x14ac:dyDescent="0.25">
      <c r="K162" s="1">
        <v>150</v>
      </c>
      <c r="L162" s="9">
        <v>1721969.2427341631</v>
      </c>
    </row>
    <row r="163" spans="11:12" x14ac:dyDescent="0.25">
      <c r="K163" s="1">
        <v>151</v>
      </c>
      <c r="L163" s="9">
        <v>2142689.2191275405</v>
      </c>
    </row>
    <row r="164" spans="11:12" x14ac:dyDescent="0.25">
      <c r="K164" s="1">
        <v>152</v>
      </c>
      <c r="L164" s="9">
        <v>400343.73031447863</v>
      </c>
    </row>
    <row r="165" spans="11:12" x14ac:dyDescent="0.25">
      <c r="K165" s="1">
        <v>153</v>
      </c>
      <c r="L165" s="9">
        <v>3093708.8961263988</v>
      </c>
    </row>
    <row r="166" spans="11:12" x14ac:dyDescent="0.25">
      <c r="K166" s="1">
        <v>154</v>
      </c>
      <c r="L166" s="9">
        <v>1370771.2469733895</v>
      </c>
    </row>
    <row r="167" spans="11:12" x14ac:dyDescent="0.25">
      <c r="K167" s="1">
        <v>155</v>
      </c>
      <c r="L167" s="9">
        <v>962902.22636990063</v>
      </c>
    </row>
    <row r="168" spans="11:12" x14ac:dyDescent="0.25">
      <c r="K168" s="1">
        <v>156</v>
      </c>
      <c r="L168" s="9">
        <v>794339.95604533283</v>
      </c>
    </row>
    <row r="169" spans="11:12" x14ac:dyDescent="0.25">
      <c r="K169" s="1">
        <v>157</v>
      </c>
      <c r="L169" s="9">
        <v>461284.7039438088</v>
      </c>
    </row>
    <row r="170" spans="11:12" x14ac:dyDescent="0.25">
      <c r="K170" s="1">
        <v>158</v>
      </c>
      <c r="L170" s="9">
        <v>962109.33238244872</v>
      </c>
    </row>
    <row r="171" spans="11:12" x14ac:dyDescent="0.25">
      <c r="K171" s="1">
        <v>159</v>
      </c>
      <c r="L171" s="9">
        <v>1735450.4206940345</v>
      </c>
    </row>
    <row r="172" spans="11:12" x14ac:dyDescent="0.25">
      <c r="K172" s="1">
        <v>160</v>
      </c>
      <c r="L172" s="9">
        <v>798047.9406781958</v>
      </c>
    </row>
    <row r="173" spans="11:12" x14ac:dyDescent="0.25">
      <c r="K173" s="1">
        <v>161</v>
      </c>
      <c r="L173" s="9">
        <v>1206332.316733418</v>
      </c>
    </row>
    <row r="174" spans="11:12" x14ac:dyDescent="0.25">
      <c r="K174" s="1">
        <v>162</v>
      </c>
      <c r="L174" s="9">
        <v>3646032.6617368199</v>
      </c>
    </row>
    <row r="175" spans="11:12" x14ac:dyDescent="0.25">
      <c r="K175" s="1">
        <v>163</v>
      </c>
      <c r="L175" s="9">
        <v>746996.64758817945</v>
      </c>
    </row>
    <row r="176" spans="11:12" x14ac:dyDescent="0.25">
      <c r="K176" s="1">
        <v>164</v>
      </c>
      <c r="L176" s="9">
        <v>841165.4171931342</v>
      </c>
    </row>
    <row r="177" spans="11:12" x14ac:dyDescent="0.25">
      <c r="K177" s="1">
        <v>165</v>
      </c>
      <c r="L177" s="9">
        <v>71901.470466669649</v>
      </c>
    </row>
    <row r="178" spans="11:12" x14ac:dyDescent="0.25">
      <c r="K178" s="1">
        <v>166</v>
      </c>
      <c r="L178" s="9">
        <v>-357174.91139245121</v>
      </c>
    </row>
    <row r="179" spans="11:12" x14ac:dyDescent="0.25">
      <c r="K179" s="1">
        <v>167</v>
      </c>
      <c r="L179" s="9">
        <v>1375721.8513562912</v>
      </c>
    </row>
    <row r="180" spans="11:12" x14ac:dyDescent="0.25">
      <c r="K180" s="1">
        <v>168</v>
      </c>
      <c r="L180" s="9">
        <v>3710369.38378338</v>
      </c>
    </row>
    <row r="181" spans="11:12" x14ac:dyDescent="0.25">
      <c r="K181" s="1">
        <v>169</v>
      </c>
      <c r="L181" s="9">
        <v>2839706.239113708</v>
      </c>
    </row>
    <row r="182" spans="11:12" x14ac:dyDescent="0.25">
      <c r="K182" s="1">
        <v>170</v>
      </c>
      <c r="L182" s="9">
        <v>2062983.7378083072</v>
      </c>
    </row>
    <row r="183" spans="11:12" x14ac:dyDescent="0.25">
      <c r="K183" s="1">
        <v>171</v>
      </c>
      <c r="L183" s="9">
        <v>1179335.167491084</v>
      </c>
    </row>
    <row r="184" spans="11:12" x14ac:dyDescent="0.25">
      <c r="K184" s="1">
        <v>172</v>
      </c>
      <c r="L184" s="9">
        <v>289164.38530584163</v>
      </c>
    </row>
    <row r="185" spans="11:12" x14ac:dyDescent="0.25">
      <c r="K185" s="1">
        <v>173</v>
      </c>
      <c r="L185" s="9">
        <v>3566727.477373844</v>
      </c>
    </row>
    <row r="186" spans="11:12" x14ac:dyDescent="0.25">
      <c r="K186" s="1">
        <v>174</v>
      </c>
      <c r="L186" s="9">
        <v>292599.9610606932</v>
      </c>
    </row>
    <row r="187" spans="11:12" x14ac:dyDescent="0.25">
      <c r="K187" s="1">
        <v>175</v>
      </c>
      <c r="L187" s="9">
        <v>31677.530851948657</v>
      </c>
    </row>
    <row r="188" spans="11:12" x14ac:dyDescent="0.25">
      <c r="K188" s="1">
        <v>176</v>
      </c>
      <c r="L188" s="9">
        <v>1171151.6825417371</v>
      </c>
    </row>
    <row r="189" spans="11:12" x14ac:dyDescent="0.25">
      <c r="K189" s="1">
        <v>177</v>
      </c>
      <c r="L189" s="9">
        <v>248804.85345929337</v>
      </c>
    </row>
    <row r="190" spans="11:12" x14ac:dyDescent="0.25">
      <c r="K190" s="1">
        <v>178</v>
      </c>
      <c r="L190" s="9">
        <v>525687.88915057667</v>
      </c>
    </row>
    <row r="191" spans="11:12" x14ac:dyDescent="0.25">
      <c r="K191" s="1">
        <v>179</v>
      </c>
      <c r="L191" s="9">
        <v>567073.34488713159</v>
      </c>
    </row>
    <row r="192" spans="11:12" x14ac:dyDescent="0.25">
      <c r="K192" s="1">
        <v>180</v>
      </c>
      <c r="L192" s="9">
        <v>920331.69295683107</v>
      </c>
    </row>
    <row r="193" spans="11:12" x14ac:dyDescent="0.25">
      <c r="K193" s="1">
        <v>181</v>
      </c>
      <c r="L193" s="9">
        <v>1091416.4613312867</v>
      </c>
    </row>
    <row r="194" spans="11:12" x14ac:dyDescent="0.25">
      <c r="K194" s="1">
        <v>182</v>
      </c>
      <c r="L194" s="9">
        <v>979373.96173626673</v>
      </c>
    </row>
    <row r="195" spans="11:12" x14ac:dyDescent="0.25">
      <c r="K195" s="1">
        <v>183</v>
      </c>
      <c r="L195" s="9">
        <v>398782.56110433035</v>
      </c>
    </row>
    <row r="196" spans="11:12" x14ac:dyDescent="0.25">
      <c r="K196" s="1">
        <v>184</v>
      </c>
      <c r="L196" s="9">
        <v>1149423.409239928</v>
      </c>
    </row>
    <row r="197" spans="11:12" x14ac:dyDescent="0.25">
      <c r="K197" s="1">
        <v>185</v>
      </c>
      <c r="L197" s="9">
        <v>1329492.9470536357</v>
      </c>
    </row>
    <row r="198" spans="11:12" x14ac:dyDescent="0.25">
      <c r="K198" s="1">
        <v>186</v>
      </c>
      <c r="L198" s="9">
        <v>904365.68986200658</v>
      </c>
    </row>
    <row r="199" spans="11:12" x14ac:dyDescent="0.25">
      <c r="K199" s="1">
        <v>187</v>
      </c>
      <c r="L199" s="9">
        <v>1695481.0513554616</v>
      </c>
    </row>
    <row r="200" spans="11:12" x14ac:dyDescent="0.25">
      <c r="K200" s="1">
        <v>188</v>
      </c>
      <c r="L200" s="9">
        <v>-360666.61826899485</v>
      </c>
    </row>
    <row r="201" spans="11:12" x14ac:dyDescent="0.25">
      <c r="K201" s="1">
        <v>189</v>
      </c>
      <c r="L201" s="9">
        <v>1056905.4822429887</v>
      </c>
    </row>
    <row r="202" spans="11:12" x14ac:dyDescent="0.25">
      <c r="K202" s="1">
        <v>190</v>
      </c>
      <c r="L202" s="9">
        <v>529918.80466062296</v>
      </c>
    </row>
    <row r="203" spans="11:12" x14ac:dyDescent="0.25">
      <c r="K203" s="1">
        <v>191</v>
      </c>
      <c r="L203" s="9">
        <v>190903.18004622351</v>
      </c>
    </row>
    <row r="204" spans="11:12" x14ac:dyDescent="0.25">
      <c r="K204" s="1">
        <v>192</v>
      </c>
      <c r="L204" s="9">
        <v>-72636.3576263992</v>
      </c>
    </row>
    <row r="205" spans="11:12" x14ac:dyDescent="0.25">
      <c r="K205" s="1">
        <v>193</v>
      </c>
      <c r="L205" s="9">
        <v>1074004.141917241</v>
      </c>
    </row>
    <row r="206" spans="11:12" x14ac:dyDescent="0.25">
      <c r="K206" s="1">
        <v>194</v>
      </c>
      <c r="L206" s="9">
        <v>459581.00379470945</v>
      </c>
    </row>
    <row r="207" spans="11:12" x14ac:dyDescent="0.25">
      <c r="K207" s="1">
        <v>195</v>
      </c>
      <c r="L207" s="9">
        <v>542286.15962465375</v>
      </c>
    </row>
    <row r="208" spans="11:12" x14ac:dyDescent="0.25">
      <c r="K208" s="1">
        <v>196</v>
      </c>
      <c r="L208" s="9">
        <v>564974.64765031298</v>
      </c>
    </row>
    <row r="209" spans="11:12" x14ac:dyDescent="0.25">
      <c r="K209" s="1">
        <v>197</v>
      </c>
      <c r="L209" s="9">
        <v>767549.02217794838</v>
      </c>
    </row>
    <row r="210" spans="11:12" x14ac:dyDescent="0.25">
      <c r="K210" s="1">
        <v>198</v>
      </c>
      <c r="L210" s="9">
        <v>1881866.03578595</v>
      </c>
    </row>
    <row r="211" spans="11:12" x14ac:dyDescent="0.25">
      <c r="K211" s="1">
        <v>199</v>
      </c>
      <c r="L211" s="9">
        <v>1397918.6782532707</v>
      </c>
    </row>
    <row r="212" spans="11:12" x14ac:dyDescent="0.25">
      <c r="K212" s="1">
        <v>200</v>
      </c>
      <c r="L212" s="9">
        <v>-312682.12692107225</v>
      </c>
    </row>
    <row r="213" spans="11:12" x14ac:dyDescent="0.25">
      <c r="K213" s="1">
        <v>201</v>
      </c>
      <c r="L213" s="9">
        <v>1053887.681340545</v>
      </c>
    </row>
    <row r="214" spans="11:12" x14ac:dyDescent="0.25">
      <c r="K214" s="1">
        <v>202</v>
      </c>
      <c r="L214" s="9">
        <v>863514.5948704402</v>
      </c>
    </row>
    <row r="215" spans="11:12" x14ac:dyDescent="0.25">
      <c r="K215" s="1">
        <v>203</v>
      </c>
      <c r="L215" s="9">
        <v>912365.56113701127</v>
      </c>
    </row>
    <row r="216" spans="11:12" x14ac:dyDescent="0.25">
      <c r="K216" s="1">
        <v>204</v>
      </c>
      <c r="L216" s="9">
        <v>441031.58624347323</v>
      </c>
    </row>
    <row r="217" spans="11:12" x14ac:dyDescent="0.25">
      <c r="K217" s="1">
        <v>205</v>
      </c>
      <c r="L217" s="9">
        <v>1208098.4640917317</v>
      </c>
    </row>
    <row r="218" spans="11:12" x14ac:dyDescent="0.25">
      <c r="K218" s="1">
        <v>206</v>
      </c>
      <c r="L218" s="9">
        <v>1706205.8565583702</v>
      </c>
    </row>
    <row r="219" spans="11:12" x14ac:dyDescent="0.25">
      <c r="K219" s="1">
        <v>207</v>
      </c>
      <c r="L219" s="9">
        <v>3445527.3997728778</v>
      </c>
    </row>
    <row r="220" spans="11:12" x14ac:dyDescent="0.25">
      <c r="K220" s="1">
        <v>208</v>
      </c>
      <c r="L220" s="9">
        <v>271352.09372689924</v>
      </c>
    </row>
    <row r="221" spans="11:12" x14ac:dyDescent="0.25">
      <c r="K221" s="1">
        <v>209</v>
      </c>
      <c r="L221" s="9">
        <v>1240922.2435311407</v>
      </c>
    </row>
    <row r="222" spans="11:12" x14ac:dyDescent="0.25">
      <c r="K222" s="1">
        <v>210</v>
      </c>
      <c r="L222" s="9">
        <v>233257.59655084054</v>
      </c>
    </row>
    <row r="223" spans="11:12" x14ac:dyDescent="0.25">
      <c r="K223" s="1">
        <v>211</v>
      </c>
      <c r="L223" s="9">
        <v>610387.06019774964</v>
      </c>
    </row>
    <row r="224" spans="11:12" x14ac:dyDescent="0.25">
      <c r="K224" s="1">
        <v>212</v>
      </c>
      <c r="L224" s="9">
        <v>1255643.1282553882</v>
      </c>
    </row>
    <row r="225" spans="11:12" x14ac:dyDescent="0.25">
      <c r="K225" s="1">
        <v>213</v>
      </c>
      <c r="L225" s="9">
        <v>2139667.1056625261</v>
      </c>
    </row>
    <row r="226" spans="11:12" x14ac:dyDescent="0.25">
      <c r="K226" s="1">
        <v>214</v>
      </c>
      <c r="L226" s="9">
        <v>-162530.81637084883</v>
      </c>
    </row>
    <row r="227" spans="11:12" x14ac:dyDescent="0.25">
      <c r="K227" s="1">
        <v>215</v>
      </c>
      <c r="L227" s="9">
        <v>173524.30349375715</v>
      </c>
    </row>
    <row r="228" spans="11:12" x14ac:dyDescent="0.25">
      <c r="K228" s="1">
        <v>216</v>
      </c>
      <c r="L228" s="9">
        <v>535485.64405066683</v>
      </c>
    </row>
    <row r="229" spans="11:12" x14ac:dyDescent="0.25">
      <c r="K229" s="1">
        <v>217</v>
      </c>
      <c r="L229" s="9">
        <v>1698542.496898503</v>
      </c>
    </row>
    <row r="230" spans="11:12" x14ac:dyDescent="0.25">
      <c r="K230" s="1">
        <v>218</v>
      </c>
      <c r="L230" s="9">
        <v>968956.4362971955</v>
      </c>
    </row>
    <row r="231" spans="11:12" x14ac:dyDescent="0.25">
      <c r="K231" s="1">
        <v>219</v>
      </c>
      <c r="L231" s="9">
        <v>2140659.7858095476</v>
      </c>
    </row>
    <row r="232" spans="11:12" x14ac:dyDescent="0.25">
      <c r="K232" s="1">
        <v>220</v>
      </c>
      <c r="L232" s="9">
        <v>1205925.6592137311</v>
      </c>
    </row>
    <row r="233" spans="11:12" x14ac:dyDescent="0.25">
      <c r="K233" s="1">
        <v>221</v>
      </c>
      <c r="L233" s="9">
        <v>300919.22215193359</v>
      </c>
    </row>
    <row r="234" spans="11:12" x14ac:dyDescent="0.25">
      <c r="K234" s="1">
        <v>222</v>
      </c>
      <c r="L234" s="9">
        <v>423357.87250137923</v>
      </c>
    </row>
    <row r="235" spans="11:12" x14ac:dyDescent="0.25">
      <c r="K235" s="1">
        <v>223</v>
      </c>
      <c r="L235" s="9">
        <v>23165.622721882013</v>
      </c>
    </row>
    <row r="236" spans="11:12" x14ac:dyDescent="0.25">
      <c r="K236" s="1">
        <v>224</v>
      </c>
      <c r="L236" s="9">
        <v>1167136.5702623632</v>
      </c>
    </row>
    <row r="237" spans="11:12" x14ac:dyDescent="0.25">
      <c r="K237" s="1">
        <v>225</v>
      </c>
      <c r="L237" s="9">
        <v>2921634.9807154173</v>
      </c>
    </row>
    <row r="238" spans="11:12" x14ac:dyDescent="0.25">
      <c r="K238" s="1">
        <v>226</v>
      </c>
      <c r="L238" s="9">
        <v>470101.82230690494</v>
      </c>
    </row>
    <row r="239" spans="11:12" x14ac:dyDescent="0.25">
      <c r="K239" s="1">
        <v>227</v>
      </c>
      <c r="L239" s="9">
        <v>-194892.96533648117</v>
      </c>
    </row>
    <row r="240" spans="11:12" x14ac:dyDescent="0.25">
      <c r="K240" s="1">
        <v>228</v>
      </c>
      <c r="L240" s="9">
        <v>672055.56493103434</v>
      </c>
    </row>
    <row r="241" spans="11:12" x14ac:dyDescent="0.25">
      <c r="K241" s="1">
        <v>229</v>
      </c>
      <c r="L241" s="9">
        <v>-6130.1320812199265</v>
      </c>
    </row>
    <row r="242" spans="11:12" x14ac:dyDescent="0.25">
      <c r="K242" s="1">
        <v>230</v>
      </c>
      <c r="L242" s="9">
        <v>1871742.2282315334</v>
      </c>
    </row>
    <row r="243" spans="11:12" x14ac:dyDescent="0.25">
      <c r="K243" s="1">
        <v>231</v>
      </c>
      <c r="L243" s="9">
        <v>561192.6424535386</v>
      </c>
    </row>
    <row r="244" spans="11:12" x14ac:dyDescent="0.25">
      <c r="K244" s="1">
        <v>232</v>
      </c>
      <c r="L244" s="9">
        <v>851510.36581474775</v>
      </c>
    </row>
    <row r="245" spans="11:12" x14ac:dyDescent="0.25">
      <c r="K245" s="1">
        <v>233</v>
      </c>
      <c r="L245" s="9">
        <v>14359.66148189269</v>
      </c>
    </row>
    <row r="246" spans="11:12" x14ac:dyDescent="0.25">
      <c r="K246" s="1">
        <v>234</v>
      </c>
      <c r="L246" s="9">
        <v>1733238.0124627003</v>
      </c>
    </row>
    <row r="247" spans="11:12" x14ac:dyDescent="0.25">
      <c r="K247" s="1">
        <v>235</v>
      </c>
      <c r="L247" s="9">
        <v>1106919.0343656472</v>
      </c>
    </row>
    <row r="248" spans="11:12" x14ac:dyDescent="0.25">
      <c r="K248" s="1">
        <v>236</v>
      </c>
      <c r="L248" s="9">
        <v>607476.01307651703</v>
      </c>
    </row>
    <row r="249" spans="11:12" x14ac:dyDescent="0.25">
      <c r="K249" s="1">
        <v>237</v>
      </c>
      <c r="L249" s="9">
        <v>683176.44356980047</v>
      </c>
    </row>
    <row r="250" spans="11:12" x14ac:dyDescent="0.25">
      <c r="K250" s="1">
        <v>238</v>
      </c>
      <c r="L250" s="9">
        <v>3453290.5855730316</v>
      </c>
    </row>
    <row r="251" spans="11:12" x14ac:dyDescent="0.25">
      <c r="K251" s="1">
        <v>239</v>
      </c>
      <c r="L251" s="9">
        <v>1362132.2263645744</v>
      </c>
    </row>
    <row r="252" spans="11:12" x14ac:dyDescent="0.25">
      <c r="K252" s="1">
        <v>240</v>
      </c>
      <c r="L252" s="9">
        <v>882303.21203439194</v>
      </c>
    </row>
    <row r="253" spans="11:12" x14ac:dyDescent="0.25">
      <c r="K253" s="1">
        <v>241</v>
      </c>
      <c r="L253" s="9">
        <v>2071531.2324426053</v>
      </c>
    </row>
    <row r="254" spans="11:12" x14ac:dyDescent="0.25">
      <c r="K254" s="1">
        <v>242</v>
      </c>
      <c r="L254" s="9">
        <v>2720967.5348782977</v>
      </c>
    </row>
    <row r="255" spans="11:12" x14ac:dyDescent="0.25">
      <c r="K255" s="1">
        <v>243</v>
      </c>
      <c r="L255" s="9">
        <v>1220043.4690917167</v>
      </c>
    </row>
    <row r="256" spans="11:12" x14ac:dyDescent="0.25">
      <c r="K256" s="1">
        <v>244</v>
      </c>
      <c r="L256" s="9">
        <v>1450995.0076430319</v>
      </c>
    </row>
    <row r="257" spans="11:12" x14ac:dyDescent="0.25">
      <c r="K257" s="1">
        <v>245</v>
      </c>
      <c r="L257" s="9">
        <v>330093.57682488114</v>
      </c>
    </row>
    <row r="258" spans="11:12" x14ac:dyDescent="0.25">
      <c r="K258" s="1">
        <v>246</v>
      </c>
      <c r="L258" s="9">
        <v>1628610.2549679766</v>
      </c>
    </row>
    <row r="259" spans="11:12" x14ac:dyDescent="0.25">
      <c r="K259" s="1">
        <v>247</v>
      </c>
      <c r="L259" s="9">
        <v>1465090.6168612256</v>
      </c>
    </row>
    <row r="260" spans="11:12" x14ac:dyDescent="0.25">
      <c r="K260" s="1">
        <v>248</v>
      </c>
      <c r="L260" s="9">
        <v>1198068.8728885311</v>
      </c>
    </row>
    <row r="261" spans="11:12" x14ac:dyDescent="0.25">
      <c r="K261" s="1">
        <v>249</v>
      </c>
      <c r="L261" s="9">
        <v>471834.32597150386</v>
      </c>
    </row>
    <row r="262" spans="11:12" x14ac:dyDescent="0.25">
      <c r="K262" s="1">
        <v>250</v>
      </c>
      <c r="L262" s="9">
        <v>1179568.6517367202</v>
      </c>
    </row>
    <row r="263" spans="11:12" x14ac:dyDescent="0.25">
      <c r="K263" s="1">
        <v>251</v>
      </c>
      <c r="L263" s="9">
        <v>3493368.6701576919</v>
      </c>
    </row>
    <row r="264" spans="11:12" x14ac:dyDescent="0.25">
      <c r="K264" s="1">
        <v>252</v>
      </c>
      <c r="L264" s="9">
        <v>821932.13936381252</v>
      </c>
    </row>
    <row r="265" spans="11:12" x14ac:dyDescent="0.25">
      <c r="K265" s="1">
        <v>253</v>
      </c>
      <c r="L265" s="9">
        <v>912864.92212646664</v>
      </c>
    </row>
    <row r="266" spans="11:12" x14ac:dyDescent="0.25">
      <c r="K266" s="1">
        <v>254</v>
      </c>
      <c r="L266" s="9">
        <v>1512292.111949265</v>
      </c>
    </row>
    <row r="267" spans="11:12" x14ac:dyDescent="0.25">
      <c r="K267" s="1">
        <v>255</v>
      </c>
      <c r="L267" s="9">
        <v>2953192.7332239663</v>
      </c>
    </row>
    <row r="268" spans="11:12" x14ac:dyDescent="0.25">
      <c r="K268" s="1">
        <v>256</v>
      </c>
      <c r="L268" s="9">
        <v>1004516.5625247112</v>
      </c>
    </row>
    <row r="269" spans="11:12" x14ac:dyDescent="0.25">
      <c r="K269" s="1">
        <v>257</v>
      </c>
      <c r="L269" s="9">
        <v>3173502.5045176903</v>
      </c>
    </row>
    <row r="270" spans="11:12" x14ac:dyDescent="0.25">
      <c r="K270" s="1">
        <v>258</v>
      </c>
      <c r="L270" s="9">
        <v>1274108.3213047523</v>
      </c>
    </row>
    <row r="271" spans="11:12" x14ac:dyDescent="0.25">
      <c r="K271" s="1">
        <v>259</v>
      </c>
      <c r="L271" s="9">
        <v>812030.88454455766</v>
      </c>
    </row>
    <row r="272" spans="11:12" x14ac:dyDescent="0.25">
      <c r="K272" s="1">
        <v>260</v>
      </c>
      <c r="L272" s="9">
        <v>718337.75334598066</v>
      </c>
    </row>
    <row r="273" spans="11:12" x14ac:dyDescent="0.25">
      <c r="K273" s="1">
        <v>261</v>
      </c>
      <c r="L273" s="9">
        <v>383993.10409093706</v>
      </c>
    </row>
    <row r="274" spans="11:12" x14ac:dyDescent="0.25">
      <c r="K274" s="1">
        <v>262</v>
      </c>
      <c r="L274" s="9">
        <v>587671.9971894176</v>
      </c>
    </row>
    <row r="275" spans="11:12" x14ac:dyDescent="0.25">
      <c r="K275" s="1">
        <v>263</v>
      </c>
      <c r="L275" s="9">
        <v>563603.97432575328</v>
      </c>
    </row>
    <row r="276" spans="11:12" x14ac:dyDescent="0.25">
      <c r="K276" s="1">
        <v>264</v>
      </c>
      <c r="L276" s="9">
        <v>2523132.5331222243</v>
      </c>
    </row>
    <row r="277" spans="11:12" x14ac:dyDescent="0.25">
      <c r="K277" s="1">
        <v>265</v>
      </c>
      <c r="L277" s="9">
        <v>1352213.5443788345</v>
      </c>
    </row>
    <row r="278" spans="11:12" x14ac:dyDescent="0.25">
      <c r="K278" s="1">
        <v>266</v>
      </c>
      <c r="L278" s="9">
        <v>297792.09717868816</v>
      </c>
    </row>
    <row r="279" spans="11:12" x14ac:dyDescent="0.25">
      <c r="K279" s="1">
        <v>267</v>
      </c>
      <c r="L279" s="9">
        <v>804441.79438307544</v>
      </c>
    </row>
    <row r="280" spans="11:12" x14ac:dyDescent="0.25">
      <c r="K280" s="1">
        <v>268</v>
      </c>
      <c r="L280" s="9">
        <v>407556.68306822656</v>
      </c>
    </row>
    <row r="281" spans="11:12" x14ac:dyDescent="0.25">
      <c r="K281" s="1">
        <v>269</v>
      </c>
      <c r="L281" s="9">
        <v>-458.67239784900448</v>
      </c>
    </row>
    <row r="282" spans="11:12" x14ac:dyDescent="0.25">
      <c r="K282" s="1">
        <v>270</v>
      </c>
      <c r="L282" s="9">
        <v>534337.09657097305</v>
      </c>
    </row>
    <row r="283" spans="11:12" x14ac:dyDescent="0.25">
      <c r="K283" s="1">
        <v>271</v>
      </c>
      <c r="L283" s="9">
        <v>243210.5281967019</v>
      </c>
    </row>
    <row r="284" spans="11:12" x14ac:dyDescent="0.25">
      <c r="K284" s="1">
        <v>272</v>
      </c>
      <c r="L284" s="9">
        <v>1933649.8737433627</v>
      </c>
    </row>
    <row r="285" spans="11:12" x14ac:dyDescent="0.25">
      <c r="K285" s="1">
        <v>273</v>
      </c>
      <c r="L285" s="9">
        <v>2341282.483131934</v>
      </c>
    </row>
    <row r="286" spans="11:12" x14ac:dyDescent="0.25">
      <c r="K286" s="1">
        <v>274</v>
      </c>
      <c r="L286" s="9">
        <v>1567311.40147583</v>
      </c>
    </row>
    <row r="287" spans="11:12" x14ac:dyDescent="0.25">
      <c r="K287" s="1">
        <v>275</v>
      </c>
      <c r="L287" s="9">
        <v>830534.91519876849</v>
      </c>
    </row>
    <row r="288" spans="11:12" x14ac:dyDescent="0.25">
      <c r="K288" s="1">
        <v>276</v>
      </c>
      <c r="L288" s="9">
        <v>2247303.5080888793</v>
      </c>
    </row>
    <row r="289" spans="11:12" x14ac:dyDescent="0.25">
      <c r="K289" s="1">
        <v>277</v>
      </c>
      <c r="L289" s="9">
        <v>1036989.3324462497</v>
      </c>
    </row>
    <row r="290" spans="11:12" x14ac:dyDescent="0.25">
      <c r="K290" s="1">
        <v>278</v>
      </c>
      <c r="L290" s="9">
        <v>626281.98331706924</v>
      </c>
    </row>
    <row r="291" spans="11:12" x14ac:dyDescent="0.25">
      <c r="K291" s="1">
        <v>279</v>
      </c>
      <c r="L291" s="9">
        <v>346337.0059907597</v>
      </c>
    </row>
    <row r="292" spans="11:12" x14ac:dyDescent="0.25">
      <c r="K292" s="1">
        <v>280</v>
      </c>
      <c r="L292" s="9">
        <v>67909.732867705869</v>
      </c>
    </row>
    <row r="293" spans="11:12" x14ac:dyDescent="0.25">
      <c r="K293" s="1">
        <v>281</v>
      </c>
      <c r="L293" s="9">
        <v>586324.59994292574</v>
      </c>
    </row>
    <row r="294" spans="11:12" x14ac:dyDescent="0.25">
      <c r="K294" s="1">
        <v>282</v>
      </c>
      <c r="L294" s="9">
        <v>167017.87309235299</v>
      </c>
    </row>
    <row r="295" spans="11:12" x14ac:dyDescent="0.25">
      <c r="K295" s="1">
        <v>283</v>
      </c>
      <c r="L295" s="9">
        <v>947897.19086254039</v>
      </c>
    </row>
    <row r="296" spans="11:12" x14ac:dyDescent="0.25">
      <c r="K296" s="1">
        <v>284</v>
      </c>
      <c r="L296" s="9">
        <v>3052606.6602820875</v>
      </c>
    </row>
    <row r="297" spans="11:12" x14ac:dyDescent="0.25">
      <c r="K297" s="1">
        <v>285</v>
      </c>
      <c r="L297" s="9">
        <v>500601.56862969219</v>
      </c>
    </row>
    <row r="298" spans="11:12" x14ac:dyDescent="0.25">
      <c r="K298" s="1">
        <v>286</v>
      </c>
      <c r="L298" s="9">
        <v>-233488.5871082354</v>
      </c>
    </row>
    <row r="299" spans="11:12" x14ac:dyDescent="0.25">
      <c r="K299" s="1">
        <v>287</v>
      </c>
      <c r="L299" s="9">
        <v>1985350.7666325625</v>
      </c>
    </row>
    <row r="300" spans="11:12" x14ac:dyDescent="0.25">
      <c r="K300" s="1">
        <v>288</v>
      </c>
      <c r="L300" s="9">
        <v>1966600.6567238164</v>
      </c>
    </row>
    <row r="301" spans="11:12" x14ac:dyDescent="0.25">
      <c r="K301" s="1">
        <v>289</v>
      </c>
      <c r="L301" s="9">
        <v>1069523.0398088347</v>
      </c>
    </row>
    <row r="302" spans="11:12" x14ac:dyDescent="0.25">
      <c r="K302" s="1">
        <v>290</v>
      </c>
      <c r="L302" s="9">
        <v>1521585.0377545287</v>
      </c>
    </row>
    <row r="303" spans="11:12" x14ac:dyDescent="0.25">
      <c r="K303" s="1">
        <v>291</v>
      </c>
      <c r="L303" s="9">
        <v>1854429.7825438362</v>
      </c>
    </row>
    <row r="304" spans="11:12" x14ac:dyDescent="0.25">
      <c r="K304" s="1">
        <v>292</v>
      </c>
      <c r="L304" s="9">
        <v>669854.85765630612</v>
      </c>
    </row>
    <row r="305" spans="11:12" x14ac:dyDescent="0.25">
      <c r="K305" s="1">
        <v>293</v>
      </c>
      <c r="L305" s="9">
        <v>1777399.7021578196</v>
      </c>
    </row>
    <row r="306" spans="11:12" x14ac:dyDescent="0.25">
      <c r="K306" s="1">
        <v>294</v>
      </c>
      <c r="L306" s="9">
        <v>-385790.84293585172</v>
      </c>
    </row>
    <row r="307" spans="11:12" x14ac:dyDescent="0.25">
      <c r="K307" s="1">
        <v>295</v>
      </c>
      <c r="L307" s="9">
        <v>1093842.5636570361</v>
      </c>
    </row>
    <row r="308" spans="11:12" x14ac:dyDescent="0.25">
      <c r="K308" s="1">
        <v>296</v>
      </c>
      <c r="L308" s="9">
        <v>207743.3586072388</v>
      </c>
    </row>
    <row r="309" spans="11:12" x14ac:dyDescent="0.25">
      <c r="K309" s="1">
        <v>297</v>
      </c>
      <c r="L309" s="9">
        <v>1514846.6127150087</v>
      </c>
    </row>
    <row r="310" spans="11:12" x14ac:dyDescent="0.25">
      <c r="K310" s="1">
        <v>298</v>
      </c>
      <c r="L310" s="9">
        <v>5995014.4179768199</v>
      </c>
    </row>
    <row r="311" spans="11:12" x14ac:dyDescent="0.25">
      <c r="K311" s="1">
        <v>299</v>
      </c>
      <c r="L311" s="9">
        <v>53281.809642831679</v>
      </c>
    </row>
    <row r="312" spans="11:12" x14ac:dyDescent="0.25">
      <c r="K312" s="1">
        <v>300</v>
      </c>
      <c r="L312" s="9">
        <v>299748.72132489819</v>
      </c>
    </row>
    <row r="313" spans="11:12" x14ac:dyDescent="0.25">
      <c r="K313" s="1">
        <v>301</v>
      </c>
      <c r="L313" s="9">
        <v>1819020.9976793281</v>
      </c>
    </row>
    <row r="314" spans="11:12" x14ac:dyDescent="0.25">
      <c r="K314" s="1">
        <v>302</v>
      </c>
      <c r="L314" s="9">
        <v>653394.22605534224</v>
      </c>
    </row>
    <row r="315" spans="11:12" x14ac:dyDescent="0.25">
      <c r="K315" s="1">
        <v>303</v>
      </c>
      <c r="L315" s="9">
        <v>386981.32109202654</v>
      </c>
    </row>
    <row r="316" spans="11:12" x14ac:dyDescent="0.25">
      <c r="K316" s="1">
        <v>304</v>
      </c>
      <c r="L316" s="9">
        <v>280904.40371114539</v>
      </c>
    </row>
    <row r="317" spans="11:12" x14ac:dyDescent="0.25">
      <c r="K317" s="1">
        <v>305</v>
      </c>
      <c r="L317" s="9">
        <v>959059.84901237022</v>
      </c>
    </row>
    <row r="318" spans="11:12" x14ac:dyDescent="0.25">
      <c r="K318" s="1">
        <v>306</v>
      </c>
      <c r="L318" s="9">
        <v>1027332.5231879638</v>
      </c>
    </row>
    <row r="319" spans="11:12" x14ac:dyDescent="0.25">
      <c r="K319" s="1">
        <v>307</v>
      </c>
      <c r="L319" s="9">
        <v>-111839.257115649</v>
      </c>
    </row>
    <row r="320" spans="11:12" x14ac:dyDescent="0.25">
      <c r="K320" s="1">
        <v>308</v>
      </c>
      <c r="L320" s="9">
        <v>487623.91721184272</v>
      </c>
    </row>
    <row r="321" spans="11:12" x14ac:dyDescent="0.25">
      <c r="K321" s="1">
        <v>309</v>
      </c>
      <c r="L321" s="9">
        <v>1776419.3705926379</v>
      </c>
    </row>
    <row r="322" spans="11:12" x14ac:dyDescent="0.25">
      <c r="K322" s="1">
        <v>310</v>
      </c>
      <c r="L322" s="9">
        <v>604928.62563011586</v>
      </c>
    </row>
    <row r="323" spans="11:12" x14ac:dyDescent="0.25">
      <c r="K323" s="1">
        <v>311</v>
      </c>
      <c r="L323" s="9">
        <v>155693.40708511532</v>
      </c>
    </row>
    <row r="324" spans="11:12" x14ac:dyDescent="0.25">
      <c r="K324" s="1">
        <v>312</v>
      </c>
      <c r="L324" s="9">
        <v>-125426.45717245818</v>
      </c>
    </row>
    <row r="325" spans="11:12" x14ac:dyDescent="0.25">
      <c r="K325" s="1">
        <v>313</v>
      </c>
      <c r="L325" s="9">
        <v>1978307.1652016188</v>
      </c>
    </row>
    <row r="326" spans="11:12" x14ac:dyDescent="0.25">
      <c r="K326" s="1">
        <v>314</v>
      </c>
      <c r="L326" s="9">
        <v>-253505.56568531954</v>
      </c>
    </row>
    <row r="327" spans="11:12" x14ac:dyDescent="0.25">
      <c r="K327" s="1">
        <v>315</v>
      </c>
      <c r="L327" s="9">
        <v>1444469.4855608069</v>
      </c>
    </row>
    <row r="328" spans="11:12" x14ac:dyDescent="0.25">
      <c r="K328" s="1">
        <v>316</v>
      </c>
      <c r="L328" s="9">
        <v>300418.93044116197</v>
      </c>
    </row>
    <row r="329" spans="11:12" x14ac:dyDescent="0.25">
      <c r="K329" s="1">
        <v>317</v>
      </c>
      <c r="L329" s="9">
        <v>-229090.9588583821</v>
      </c>
    </row>
    <row r="330" spans="11:12" x14ac:dyDescent="0.25">
      <c r="K330" s="1">
        <v>318</v>
      </c>
      <c r="L330" s="9">
        <v>1398697.2251122147</v>
      </c>
    </row>
    <row r="331" spans="11:12" x14ac:dyDescent="0.25">
      <c r="K331" s="1">
        <v>319</v>
      </c>
      <c r="L331" s="9">
        <v>-77060.264578856833</v>
      </c>
    </row>
    <row r="332" spans="11:12" x14ac:dyDescent="0.25">
      <c r="K332" s="1">
        <v>320</v>
      </c>
      <c r="L332" s="9">
        <v>1197389.3973782614</v>
      </c>
    </row>
    <row r="333" spans="11:12" x14ac:dyDescent="0.25">
      <c r="K333" s="1">
        <v>321</v>
      </c>
      <c r="L333" s="9">
        <v>1634169.6916894575</v>
      </c>
    </row>
    <row r="334" spans="11:12" x14ac:dyDescent="0.25">
      <c r="K334" s="1">
        <v>322</v>
      </c>
      <c r="L334" s="9">
        <v>4322091.3250171561</v>
      </c>
    </row>
    <row r="335" spans="11:12" x14ac:dyDescent="0.25">
      <c r="K335" s="1">
        <v>323</v>
      </c>
      <c r="L335" s="9">
        <v>102421.71867424733</v>
      </c>
    </row>
    <row r="336" spans="11:12" x14ac:dyDescent="0.25">
      <c r="K336" s="1">
        <v>324</v>
      </c>
      <c r="L336" s="9">
        <v>240162.76937661256</v>
      </c>
    </row>
    <row r="337" spans="11:12" x14ac:dyDescent="0.25">
      <c r="K337" s="1">
        <v>325</v>
      </c>
      <c r="L337" s="9">
        <v>-77953.728003664699</v>
      </c>
    </row>
    <row r="338" spans="11:12" x14ac:dyDescent="0.25">
      <c r="K338" s="1">
        <v>326</v>
      </c>
      <c r="L338" s="9">
        <v>389314.11721987952</v>
      </c>
    </row>
    <row r="339" spans="11:12" x14ac:dyDescent="0.25">
      <c r="K339" s="1">
        <v>327</v>
      </c>
      <c r="L339" s="9">
        <v>1162426.158797503</v>
      </c>
    </row>
    <row r="340" spans="11:12" x14ac:dyDescent="0.25">
      <c r="K340" s="1">
        <v>328</v>
      </c>
      <c r="L340" s="9">
        <v>253658.15139451786</v>
      </c>
    </row>
    <row r="341" spans="11:12" x14ac:dyDescent="0.25">
      <c r="K341" s="1">
        <v>329</v>
      </c>
      <c r="L341" s="9">
        <v>2022919.4226099038</v>
      </c>
    </row>
    <row r="342" spans="11:12" x14ac:dyDescent="0.25">
      <c r="K342" s="1">
        <v>330</v>
      </c>
      <c r="L342" s="9">
        <v>2844330.4057562286</v>
      </c>
    </row>
    <row r="343" spans="11:12" x14ac:dyDescent="0.25">
      <c r="K343" s="1">
        <v>331</v>
      </c>
      <c r="L343" s="9">
        <v>1013721.3037558168</v>
      </c>
    </row>
    <row r="344" spans="11:12" x14ac:dyDescent="0.25">
      <c r="K344" s="1">
        <v>332</v>
      </c>
      <c r="L344" s="9">
        <v>1741637.9894600576</v>
      </c>
    </row>
    <row r="345" spans="11:12" x14ac:dyDescent="0.25">
      <c r="K345" s="1">
        <v>333</v>
      </c>
      <c r="L345" s="9">
        <v>505906.34842777299</v>
      </c>
    </row>
    <row r="346" spans="11:12" x14ac:dyDescent="0.25">
      <c r="K346" s="1">
        <v>334</v>
      </c>
      <c r="L346" s="9">
        <v>1199227.0869110879</v>
      </c>
    </row>
    <row r="347" spans="11:12" x14ac:dyDescent="0.25">
      <c r="K347" s="1">
        <v>335</v>
      </c>
      <c r="L347" s="9">
        <v>658505.02768207435</v>
      </c>
    </row>
    <row r="348" spans="11:12" x14ac:dyDescent="0.25">
      <c r="K348" s="1">
        <v>336</v>
      </c>
      <c r="L348" s="9">
        <v>1371263.4017821637</v>
      </c>
    </row>
    <row r="349" spans="11:12" x14ac:dyDescent="0.25">
      <c r="K349" s="1">
        <v>337</v>
      </c>
      <c r="L349" s="9">
        <v>-535986.06585741113</v>
      </c>
    </row>
    <row r="350" spans="11:12" x14ac:dyDescent="0.25">
      <c r="K350" s="1">
        <v>338</v>
      </c>
      <c r="L350" s="9">
        <v>653159.6109173483</v>
      </c>
    </row>
    <row r="351" spans="11:12" x14ac:dyDescent="0.25">
      <c r="K351" s="1">
        <v>339</v>
      </c>
      <c r="L351" s="9">
        <v>640021.50232140883</v>
      </c>
    </row>
    <row r="352" spans="11:12" x14ac:dyDescent="0.25">
      <c r="K352" s="1">
        <v>340</v>
      </c>
      <c r="L352" s="9">
        <v>615408.42984954175</v>
      </c>
    </row>
    <row r="353" spans="11:12" x14ac:dyDescent="0.25">
      <c r="K353" s="1">
        <v>341</v>
      </c>
      <c r="L353" s="9">
        <v>533376.62846024078</v>
      </c>
    </row>
    <row r="354" spans="11:12" x14ac:dyDescent="0.25">
      <c r="K354" s="1">
        <v>342</v>
      </c>
      <c r="L354" s="9">
        <v>2817484.7885259194</v>
      </c>
    </row>
    <row r="355" spans="11:12" x14ac:dyDescent="0.25">
      <c r="K355" s="1">
        <v>343</v>
      </c>
      <c r="L355" s="9">
        <v>1376473.5259777857</v>
      </c>
    </row>
    <row r="356" spans="11:12" x14ac:dyDescent="0.25">
      <c r="K356" s="1">
        <v>344</v>
      </c>
      <c r="L356" s="9">
        <v>-219573.50862469114</v>
      </c>
    </row>
    <row r="357" spans="11:12" x14ac:dyDescent="0.25">
      <c r="K357" s="1">
        <v>345</v>
      </c>
      <c r="L357" s="9">
        <v>-303222.3099034616</v>
      </c>
    </row>
    <row r="358" spans="11:12" x14ac:dyDescent="0.25">
      <c r="K358" s="1">
        <v>346</v>
      </c>
      <c r="L358" s="9">
        <v>169734.4474894217</v>
      </c>
    </row>
    <row r="359" spans="11:12" x14ac:dyDescent="0.25">
      <c r="K359" s="1">
        <v>347</v>
      </c>
      <c r="L359" s="9">
        <v>934696.52340432629</v>
      </c>
    </row>
    <row r="360" spans="11:12" x14ac:dyDescent="0.25">
      <c r="K360" s="1">
        <v>348</v>
      </c>
      <c r="L360" s="9">
        <v>981922.90278733149</v>
      </c>
    </row>
    <row r="361" spans="11:12" x14ac:dyDescent="0.25">
      <c r="K361" s="1">
        <v>349</v>
      </c>
      <c r="L361" s="9">
        <v>513908.22026212094</v>
      </c>
    </row>
    <row r="362" spans="11:12" x14ac:dyDescent="0.25">
      <c r="K362" s="1">
        <v>350</v>
      </c>
      <c r="L362" s="9">
        <v>205373.41311781376</v>
      </c>
    </row>
    <row r="363" spans="11:12" x14ac:dyDescent="0.25">
      <c r="K363" s="1">
        <v>351</v>
      </c>
      <c r="L363" s="9">
        <v>1559805.8227805975</v>
      </c>
    </row>
    <row r="364" spans="11:12" x14ac:dyDescent="0.25">
      <c r="K364" s="1">
        <v>352</v>
      </c>
      <c r="L364" s="9">
        <v>753486.20425817696</v>
      </c>
    </row>
    <row r="365" spans="11:12" x14ac:dyDescent="0.25">
      <c r="K365" s="1">
        <v>353</v>
      </c>
      <c r="L365" s="9">
        <v>2026673.5186736723</v>
      </c>
    </row>
    <row r="366" spans="11:12" x14ac:dyDescent="0.25">
      <c r="K366" s="1">
        <v>354</v>
      </c>
      <c r="L366" s="9">
        <v>2779627.7508848109</v>
      </c>
    </row>
    <row r="367" spans="11:12" x14ac:dyDescent="0.25">
      <c r="K367" s="1">
        <v>355</v>
      </c>
      <c r="L367" s="9">
        <v>1465566.5198189882</v>
      </c>
    </row>
    <row r="368" spans="11:12" x14ac:dyDescent="0.25">
      <c r="K368" s="1">
        <v>356</v>
      </c>
      <c r="L368" s="9">
        <v>606111.18367597891</v>
      </c>
    </row>
    <row r="369" spans="11:12" x14ac:dyDescent="0.25">
      <c r="K369" s="1">
        <v>357</v>
      </c>
      <c r="L369" s="9">
        <v>1377540.0899638149</v>
      </c>
    </row>
    <row r="370" spans="11:12" x14ac:dyDescent="0.25">
      <c r="K370" s="1">
        <v>358</v>
      </c>
      <c r="L370" s="9">
        <v>464339.81849805231</v>
      </c>
    </row>
    <row r="371" spans="11:12" x14ac:dyDescent="0.25">
      <c r="K371" s="1">
        <v>359</v>
      </c>
      <c r="L371" s="9">
        <v>118752.74747549149</v>
      </c>
    </row>
    <row r="372" spans="11:12" x14ac:dyDescent="0.25">
      <c r="K372" s="1">
        <v>360</v>
      </c>
      <c r="L372" s="9">
        <v>1892308.0905479337</v>
      </c>
    </row>
    <row r="373" spans="11:12" x14ac:dyDescent="0.25">
      <c r="K373" s="1">
        <v>361</v>
      </c>
      <c r="L373" s="9">
        <v>796123.09760343796</v>
      </c>
    </row>
    <row r="374" spans="11:12" x14ac:dyDescent="0.25">
      <c r="K374" s="1">
        <v>362</v>
      </c>
      <c r="L374" s="9">
        <v>557434.08490078454</v>
      </c>
    </row>
    <row r="375" spans="11:12" x14ac:dyDescent="0.25">
      <c r="K375" s="1">
        <v>363</v>
      </c>
      <c r="L375" s="9">
        <v>1033048.6217973831</v>
      </c>
    </row>
    <row r="376" spans="11:12" x14ac:dyDescent="0.25">
      <c r="K376" s="1">
        <v>364</v>
      </c>
      <c r="L376" s="9">
        <v>2438630.1383358962</v>
      </c>
    </row>
    <row r="377" spans="11:12" x14ac:dyDescent="0.25">
      <c r="K377" s="1">
        <v>365</v>
      </c>
      <c r="L377" s="9">
        <v>718220.75575035787</v>
      </c>
    </row>
    <row r="378" spans="11:12" x14ac:dyDescent="0.25">
      <c r="K378" s="1">
        <v>366</v>
      </c>
      <c r="L378" s="9">
        <v>2152728.7759268731</v>
      </c>
    </row>
    <row r="379" spans="11:12" x14ac:dyDescent="0.25">
      <c r="K379" s="1">
        <v>367</v>
      </c>
      <c r="L379" s="9">
        <v>1811190.3332474662</v>
      </c>
    </row>
    <row r="380" spans="11:12" x14ac:dyDescent="0.25">
      <c r="K380" s="1">
        <v>368</v>
      </c>
      <c r="L380" s="9">
        <v>2416998.676215115</v>
      </c>
    </row>
    <row r="381" spans="11:12" x14ac:dyDescent="0.25">
      <c r="K381" s="1">
        <v>369</v>
      </c>
      <c r="L381" s="9">
        <v>1780.2426225650706</v>
      </c>
    </row>
    <row r="382" spans="11:12" x14ac:dyDescent="0.25">
      <c r="K382" s="1">
        <v>370</v>
      </c>
      <c r="L382" s="9">
        <v>557855.73560658447</v>
      </c>
    </row>
    <row r="383" spans="11:12" x14ac:dyDescent="0.25">
      <c r="K383" s="1">
        <v>371</v>
      </c>
      <c r="L383" s="9">
        <v>64805.984252329799</v>
      </c>
    </row>
    <row r="384" spans="11:12" x14ac:dyDescent="0.25">
      <c r="K384" s="1">
        <v>372</v>
      </c>
      <c r="L384" s="9">
        <v>392690.18437124055</v>
      </c>
    </row>
    <row r="385" spans="11:12" x14ac:dyDescent="0.25">
      <c r="K385" s="1">
        <v>373</v>
      </c>
      <c r="L385" s="9">
        <v>843754.81256517139</v>
      </c>
    </row>
    <row r="386" spans="11:12" x14ac:dyDescent="0.25">
      <c r="K386" s="1">
        <v>374</v>
      </c>
      <c r="L386" s="9">
        <v>2121877.7626220863</v>
      </c>
    </row>
    <row r="387" spans="11:12" x14ac:dyDescent="0.25">
      <c r="K387" s="1">
        <v>375</v>
      </c>
      <c r="L387" s="9">
        <v>-559394.05707481923</v>
      </c>
    </row>
    <row r="388" spans="11:12" x14ac:dyDescent="0.25">
      <c r="K388" s="1">
        <v>376</v>
      </c>
      <c r="L388" s="9">
        <v>1517052.536012508</v>
      </c>
    </row>
    <row r="389" spans="11:12" x14ac:dyDescent="0.25">
      <c r="K389" s="1">
        <v>377</v>
      </c>
      <c r="L389" s="9">
        <v>789620.38448885654</v>
      </c>
    </row>
    <row r="390" spans="11:12" x14ac:dyDescent="0.25">
      <c r="K390" s="1">
        <v>378</v>
      </c>
      <c r="L390" s="9">
        <v>1498510.654921022</v>
      </c>
    </row>
    <row r="391" spans="11:12" x14ac:dyDescent="0.25">
      <c r="K391" s="1">
        <v>379</v>
      </c>
      <c r="L391" s="9">
        <v>714411.77542861574</v>
      </c>
    </row>
    <row r="392" spans="11:12" x14ac:dyDescent="0.25">
      <c r="K392" s="1">
        <v>380</v>
      </c>
      <c r="L392" s="9">
        <v>620815.47192775668</v>
      </c>
    </row>
    <row r="393" spans="11:12" x14ac:dyDescent="0.25">
      <c r="K393" s="1">
        <v>381</v>
      </c>
      <c r="L393" s="9">
        <v>342408.70958166174</v>
      </c>
    </row>
    <row r="394" spans="11:12" x14ac:dyDescent="0.25">
      <c r="K394" s="1">
        <v>382</v>
      </c>
      <c r="L394" s="9">
        <v>877344.09880785155</v>
      </c>
    </row>
    <row r="395" spans="11:12" x14ac:dyDescent="0.25">
      <c r="K395" s="1">
        <v>383</v>
      </c>
      <c r="L395" s="9">
        <v>1097809.2174403537</v>
      </c>
    </row>
    <row r="396" spans="11:12" x14ac:dyDescent="0.25">
      <c r="K396" s="1">
        <v>384</v>
      </c>
      <c r="L396" s="9">
        <v>900160.81358923158</v>
      </c>
    </row>
    <row r="397" spans="11:12" x14ac:dyDescent="0.25">
      <c r="K397" s="1">
        <v>385</v>
      </c>
      <c r="L397" s="9">
        <v>1637167.0877721966</v>
      </c>
    </row>
    <row r="398" spans="11:12" x14ac:dyDescent="0.25">
      <c r="K398" s="1">
        <v>386</v>
      </c>
      <c r="L398" s="9">
        <v>408384.13724327297</v>
      </c>
    </row>
    <row r="399" spans="11:12" x14ac:dyDescent="0.25">
      <c r="K399" s="1">
        <v>387</v>
      </c>
      <c r="L399" s="9">
        <v>1235113.6918593328</v>
      </c>
    </row>
    <row r="400" spans="11:12" x14ac:dyDescent="0.25">
      <c r="K400" s="1">
        <v>388</v>
      </c>
      <c r="L400" s="9">
        <v>737559.35541071137</v>
      </c>
    </row>
    <row r="401" spans="11:12" x14ac:dyDescent="0.25">
      <c r="K401" s="1">
        <v>389</v>
      </c>
      <c r="L401" s="9">
        <v>3972285.5597406127</v>
      </c>
    </row>
    <row r="402" spans="11:12" x14ac:dyDescent="0.25">
      <c r="K402" s="1">
        <v>390</v>
      </c>
      <c r="L402" s="9">
        <v>-39046.463880530093</v>
      </c>
    </row>
    <row r="403" spans="11:12" x14ac:dyDescent="0.25">
      <c r="K403" s="1">
        <v>391</v>
      </c>
      <c r="L403" s="9">
        <v>-210101.39351608863</v>
      </c>
    </row>
    <row r="404" spans="11:12" x14ac:dyDescent="0.25">
      <c r="K404" s="1">
        <v>392</v>
      </c>
      <c r="L404" s="9">
        <v>777100.68048227509</v>
      </c>
    </row>
    <row r="405" spans="11:12" x14ac:dyDescent="0.25">
      <c r="K405" s="1">
        <v>393</v>
      </c>
      <c r="L405" s="9">
        <v>625565.97283853241</v>
      </c>
    </row>
    <row r="406" spans="11:12" x14ac:dyDescent="0.25">
      <c r="K406" s="1">
        <v>394</v>
      </c>
      <c r="L406" s="9">
        <v>1840600.5522274291</v>
      </c>
    </row>
    <row r="407" spans="11:12" x14ac:dyDescent="0.25">
      <c r="K407" s="1">
        <v>395</v>
      </c>
      <c r="L407" s="9">
        <v>473183.84344573482</v>
      </c>
    </row>
    <row r="408" spans="11:12" x14ac:dyDescent="0.25">
      <c r="K408" s="1">
        <v>396</v>
      </c>
      <c r="L408" s="9">
        <v>1056915.9543115953</v>
      </c>
    </row>
    <row r="409" spans="11:12" x14ac:dyDescent="0.25">
      <c r="K409" s="1">
        <v>397</v>
      </c>
      <c r="L409" s="9">
        <v>599434.45264826936</v>
      </c>
    </row>
    <row r="410" spans="11:12" x14ac:dyDescent="0.25">
      <c r="K410" s="1">
        <v>398</v>
      </c>
      <c r="L410" s="9">
        <v>472412.84932101762</v>
      </c>
    </row>
    <row r="411" spans="11:12" x14ac:dyDescent="0.25">
      <c r="K411" s="1">
        <v>399</v>
      </c>
      <c r="L411" s="9">
        <v>1009304.8638435644</v>
      </c>
    </row>
    <row r="412" spans="11:12" x14ac:dyDescent="0.25">
      <c r="K412" s="1">
        <v>400</v>
      </c>
      <c r="L412" s="9">
        <v>514091.74131929188</v>
      </c>
    </row>
    <row r="413" spans="11:12" x14ac:dyDescent="0.25">
      <c r="K413" s="1">
        <v>401</v>
      </c>
      <c r="L413" s="9">
        <v>1300862.4015378265</v>
      </c>
    </row>
    <row r="414" spans="11:12" x14ac:dyDescent="0.25">
      <c r="K414" s="1">
        <v>402</v>
      </c>
      <c r="L414" s="9">
        <v>43029.740183893009</v>
      </c>
    </row>
    <row r="415" spans="11:12" x14ac:dyDescent="0.25">
      <c r="K415" s="1">
        <v>403</v>
      </c>
      <c r="L415" s="9">
        <v>-2760.8269789877231</v>
      </c>
    </row>
    <row r="416" spans="11:12" x14ac:dyDescent="0.25">
      <c r="K416" s="1">
        <v>404</v>
      </c>
      <c r="L416" s="9">
        <v>930248.024695748</v>
      </c>
    </row>
    <row r="417" spans="11:12" x14ac:dyDescent="0.25">
      <c r="K417" s="1">
        <v>405</v>
      </c>
      <c r="L417" s="9">
        <v>3686753.5767790196</v>
      </c>
    </row>
    <row r="418" spans="11:12" x14ac:dyDescent="0.25">
      <c r="K418" s="1">
        <v>406</v>
      </c>
      <c r="L418" s="9">
        <v>761209.71618956258</v>
      </c>
    </row>
    <row r="419" spans="11:12" x14ac:dyDescent="0.25">
      <c r="K419" s="1">
        <v>407</v>
      </c>
      <c r="L419" s="9">
        <v>1952647.7201509741</v>
      </c>
    </row>
    <row r="420" spans="11:12" x14ac:dyDescent="0.25">
      <c r="K420" s="1">
        <v>408</v>
      </c>
      <c r="L420" s="9">
        <v>371311.59843397292</v>
      </c>
    </row>
    <row r="421" spans="11:12" x14ac:dyDescent="0.25">
      <c r="K421" s="1">
        <v>409</v>
      </c>
      <c r="L421" s="9">
        <v>3543909.6138700685</v>
      </c>
    </row>
    <row r="422" spans="11:12" x14ac:dyDescent="0.25">
      <c r="K422" s="1">
        <v>410</v>
      </c>
      <c r="L422" s="9">
        <v>546205.91139290435</v>
      </c>
    </row>
    <row r="423" spans="11:12" x14ac:dyDescent="0.25">
      <c r="K423" s="1">
        <v>411</v>
      </c>
      <c r="L423" s="9">
        <v>2037793.8724078797</v>
      </c>
    </row>
    <row r="424" spans="11:12" x14ac:dyDescent="0.25">
      <c r="K424" s="1">
        <v>412</v>
      </c>
      <c r="L424" s="9">
        <v>-434769.68726206111</v>
      </c>
    </row>
    <row r="425" spans="11:12" x14ac:dyDescent="0.25">
      <c r="K425" s="1">
        <v>413</v>
      </c>
      <c r="L425" s="9">
        <v>935142.63753714156</v>
      </c>
    </row>
    <row r="426" spans="11:12" x14ac:dyDescent="0.25">
      <c r="K426" s="1">
        <v>414</v>
      </c>
      <c r="L426" s="9">
        <v>666845.45073748939</v>
      </c>
    </row>
    <row r="427" spans="11:12" x14ac:dyDescent="0.25">
      <c r="K427" s="1">
        <v>415</v>
      </c>
      <c r="L427" s="9">
        <v>534218.5085786588</v>
      </c>
    </row>
    <row r="428" spans="11:12" x14ac:dyDescent="0.25">
      <c r="K428" s="1">
        <v>416</v>
      </c>
      <c r="L428" s="9">
        <v>3741871.1355995936</v>
      </c>
    </row>
    <row r="429" spans="11:12" x14ac:dyDescent="0.25">
      <c r="K429" s="1">
        <v>417</v>
      </c>
      <c r="L429" s="9">
        <v>792350.35600504233</v>
      </c>
    </row>
    <row r="430" spans="11:12" x14ac:dyDescent="0.25">
      <c r="K430" s="1">
        <v>418</v>
      </c>
      <c r="L430" s="9">
        <v>479946.98649695807</v>
      </c>
    </row>
    <row r="431" spans="11:12" x14ac:dyDescent="0.25">
      <c r="K431" s="1">
        <v>419</v>
      </c>
      <c r="L431" s="9">
        <v>1597313.6375887846</v>
      </c>
    </row>
    <row r="432" spans="11:12" x14ac:dyDescent="0.25">
      <c r="K432" s="1">
        <v>420</v>
      </c>
      <c r="L432" s="9">
        <v>959825.80464096647</v>
      </c>
    </row>
    <row r="433" spans="11:12" x14ac:dyDescent="0.25">
      <c r="K433" s="1">
        <v>421</v>
      </c>
      <c r="L433" s="9">
        <v>375930.17470187414</v>
      </c>
    </row>
    <row r="434" spans="11:12" x14ac:dyDescent="0.25">
      <c r="K434" s="1">
        <v>422</v>
      </c>
      <c r="L434" s="9">
        <v>1290434.163266669</v>
      </c>
    </row>
    <row r="435" spans="11:12" x14ac:dyDescent="0.25">
      <c r="K435" s="1">
        <v>423</v>
      </c>
      <c r="L435" s="9">
        <v>1316021.6162343309</v>
      </c>
    </row>
    <row r="436" spans="11:12" x14ac:dyDescent="0.25">
      <c r="K436" s="1">
        <v>424</v>
      </c>
      <c r="L436" s="9">
        <v>4053441.0616488541</v>
      </c>
    </row>
    <row r="437" spans="11:12" x14ac:dyDescent="0.25">
      <c r="K437" s="1">
        <v>425</v>
      </c>
      <c r="L437" s="9">
        <v>1171642.9933261322</v>
      </c>
    </row>
    <row r="438" spans="11:12" x14ac:dyDescent="0.25">
      <c r="K438" s="1">
        <v>426</v>
      </c>
      <c r="L438" s="9">
        <v>-154071.9225419517</v>
      </c>
    </row>
    <row r="439" spans="11:12" x14ac:dyDescent="0.25">
      <c r="K439" s="1">
        <v>427</v>
      </c>
      <c r="L439" s="9">
        <v>364377.29832572141</v>
      </c>
    </row>
    <row r="440" spans="11:12" x14ac:dyDescent="0.25">
      <c r="K440" s="1">
        <v>428</v>
      </c>
      <c r="L440" s="9">
        <v>462754.89775267232</v>
      </c>
    </row>
    <row r="441" spans="11:12" x14ac:dyDescent="0.25">
      <c r="K441" s="1">
        <v>429</v>
      </c>
      <c r="L441" s="9">
        <v>665749.0608742605</v>
      </c>
    </row>
    <row r="442" spans="11:12" x14ac:dyDescent="0.25">
      <c r="K442" s="1">
        <v>430</v>
      </c>
      <c r="L442" s="9">
        <v>780740.54768179823</v>
      </c>
    </row>
    <row r="443" spans="11:12" x14ac:dyDescent="0.25">
      <c r="K443" s="1">
        <v>431</v>
      </c>
      <c r="L443" s="9">
        <v>-240148.41360364383</v>
      </c>
    </row>
    <row r="444" spans="11:12" x14ac:dyDescent="0.25">
      <c r="K444" s="1">
        <v>432</v>
      </c>
      <c r="L444" s="9">
        <v>198881.12435235729</v>
      </c>
    </row>
    <row r="445" spans="11:12" x14ac:dyDescent="0.25">
      <c r="K445" s="1">
        <v>433</v>
      </c>
      <c r="L445" s="9">
        <v>729198.10672740592</v>
      </c>
    </row>
    <row r="446" spans="11:12" x14ac:dyDescent="0.25">
      <c r="K446" s="1">
        <v>434</v>
      </c>
      <c r="L446" s="9">
        <v>1360331.907043769</v>
      </c>
    </row>
    <row r="447" spans="11:12" x14ac:dyDescent="0.25">
      <c r="K447" s="1">
        <v>435</v>
      </c>
      <c r="L447" s="9">
        <v>539114.32864913833</v>
      </c>
    </row>
    <row r="448" spans="11:12" x14ac:dyDescent="0.25">
      <c r="K448" s="1">
        <v>436</v>
      </c>
      <c r="L448" s="9">
        <v>1791015.9654873537</v>
      </c>
    </row>
    <row r="449" spans="11:12" x14ac:dyDescent="0.25">
      <c r="K449" s="1">
        <v>437</v>
      </c>
      <c r="L449" s="9">
        <v>1508378.2987693066</v>
      </c>
    </row>
    <row r="450" spans="11:12" x14ac:dyDescent="0.25">
      <c r="K450" s="1">
        <v>438</v>
      </c>
      <c r="L450" s="9">
        <v>2484350.8909142967</v>
      </c>
    </row>
    <row r="451" spans="11:12" x14ac:dyDescent="0.25">
      <c r="K451" s="1">
        <v>439</v>
      </c>
      <c r="L451" s="9">
        <v>827984.15819322132</v>
      </c>
    </row>
    <row r="452" spans="11:12" x14ac:dyDescent="0.25">
      <c r="K452" s="1">
        <v>440</v>
      </c>
      <c r="L452" s="9">
        <v>741828.08854817436</v>
      </c>
    </row>
    <row r="453" spans="11:12" x14ac:dyDescent="0.25">
      <c r="K453" s="1">
        <v>441</v>
      </c>
      <c r="L453" s="9">
        <v>1055215.7050029801</v>
      </c>
    </row>
    <row r="454" spans="11:12" x14ac:dyDescent="0.25">
      <c r="K454" s="1">
        <v>442</v>
      </c>
      <c r="L454" s="9">
        <v>818707.09825961106</v>
      </c>
    </row>
    <row r="455" spans="11:12" x14ac:dyDescent="0.25">
      <c r="K455" s="1">
        <v>443</v>
      </c>
      <c r="L455" s="9">
        <v>1167905.4553056406</v>
      </c>
    </row>
    <row r="456" spans="11:12" x14ac:dyDescent="0.25">
      <c r="K456" s="1">
        <v>444</v>
      </c>
      <c r="L456" s="9">
        <v>1227507.260809757</v>
      </c>
    </row>
    <row r="457" spans="11:12" x14ac:dyDescent="0.25">
      <c r="K457" s="1">
        <v>445</v>
      </c>
      <c r="L457" s="9">
        <v>2601492.353426239</v>
      </c>
    </row>
    <row r="458" spans="11:12" x14ac:dyDescent="0.25">
      <c r="K458" s="1">
        <v>446</v>
      </c>
      <c r="L458" s="9">
        <v>1780590.3400426642</v>
      </c>
    </row>
    <row r="459" spans="11:12" x14ac:dyDescent="0.25">
      <c r="K459" s="1">
        <v>447</v>
      </c>
      <c r="L459" s="9">
        <v>312192.55497228418</v>
      </c>
    </row>
    <row r="460" spans="11:12" x14ac:dyDescent="0.25">
      <c r="K460" s="1">
        <v>448</v>
      </c>
      <c r="L460" s="9">
        <v>721911.22036601906</v>
      </c>
    </row>
    <row r="461" spans="11:12" x14ac:dyDescent="0.25">
      <c r="K461" s="1">
        <v>449</v>
      </c>
      <c r="L461" s="9">
        <v>1166430.3284621516</v>
      </c>
    </row>
    <row r="462" spans="11:12" x14ac:dyDescent="0.25">
      <c r="K462" s="1">
        <v>450</v>
      </c>
      <c r="L462" s="9">
        <v>4479789.004680695</v>
      </c>
    </row>
    <row r="463" spans="11:12" x14ac:dyDescent="0.25">
      <c r="K463" s="1">
        <v>451</v>
      </c>
      <c r="L463" s="9">
        <v>860733.28019921994</v>
      </c>
    </row>
    <row r="464" spans="11:12" x14ac:dyDescent="0.25">
      <c r="K464" s="1">
        <v>452</v>
      </c>
      <c r="L464" s="9">
        <v>998193.70508797723</v>
      </c>
    </row>
    <row r="465" spans="11:12" x14ac:dyDescent="0.25">
      <c r="K465" s="1">
        <v>453</v>
      </c>
      <c r="L465" s="9">
        <v>2219223.8194346582</v>
      </c>
    </row>
    <row r="466" spans="11:12" x14ac:dyDescent="0.25">
      <c r="K466" s="1">
        <v>454</v>
      </c>
      <c r="L466" s="9">
        <v>1261728.7023650508</v>
      </c>
    </row>
    <row r="467" spans="11:12" x14ac:dyDescent="0.25">
      <c r="K467" s="1">
        <v>455</v>
      </c>
      <c r="L467" s="9">
        <v>759871.1129110055</v>
      </c>
    </row>
    <row r="468" spans="11:12" x14ac:dyDescent="0.25">
      <c r="K468" s="1">
        <v>456</v>
      </c>
      <c r="L468" s="9">
        <v>3534513.9220326655</v>
      </c>
    </row>
    <row r="469" spans="11:12" x14ac:dyDescent="0.25">
      <c r="K469" s="1">
        <v>457</v>
      </c>
      <c r="L469" s="9">
        <v>1560638.1370466112</v>
      </c>
    </row>
    <row r="470" spans="11:12" x14ac:dyDescent="0.25">
      <c r="K470" s="1">
        <v>458</v>
      </c>
      <c r="L470" s="9">
        <v>1858179.0937077876</v>
      </c>
    </row>
    <row r="471" spans="11:12" x14ac:dyDescent="0.25">
      <c r="K471" s="1">
        <v>459</v>
      </c>
      <c r="L471" s="9">
        <v>1281862.3276024722</v>
      </c>
    </row>
    <row r="472" spans="11:12" x14ac:dyDescent="0.25">
      <c r="K472" s="1">
        <v>460</v>
      </c>
      <c r="L472" s="9">
        <v>3323373.9949990138</v>
      </c>
    </row>
    <row r="473" spans="11:12" x14ac:dyDescent="0.25">
      <c r="K473" s="1">
        <v>461</v>
      </c>
      <c r="L473" s="9">
        <v>1306876.0192575618</v>
      </c>
    </row>
    <row r="474" spans="11:12" x14ac:dyDescent="0.25">
      <c r="K474" s="1">
        <v>462</v>
      </c>
      <c r="L474" s="9">
        <v>1807111.0348258477</v>
      </c>
    </row>
    <row r="475" spans="11:12" x14ac:dyDescent="0.25">
      <c r="K475" s="1">
        <v>463</v>
      </c>
      <c r="L475" s="9">
        <v>1259827.0539914204</v>
      </c>
    </row>
    <row r="476" spans="11:12" x14ac:dyDescent="0.25">
      <c r="K476" s="1">
        <v>464</v>
      </c>
      <c r="L476" s="9">
        <v>650193.98528572673</v>
      </c>
    </row>
    <row r="477" spans="11:12" x14ac:dyDescent="0.25">
      <c r="K477" s="1">
        <v>465</v>
      </c>
      <c r="L477" s="9">
        <v>2681951.1475445358</v>
      </c>
    </row>
    <row r="478" spans="11:12" x14ac:dyDescent="0.25">
      <c r="K478" s="1">
        <v>466</v>
      </c>
      <c r="L478" s="9">
        <v>3048741.9084381526</v>
      </c>
    </row>
    <row r="479" spans="11:12" x14ac:dyDescent="0.25">
      <c r="K479" s="1">
        <v>467</v>
      </c>
      <c r="L479" s="9">
        <v>1206099.6066736567</v>
      </c>
    </row>
    <row r="480" spans="11:12" x14ac:dyDescent="0.25">
      <c r="K480" s="1">
        <v>468</v>
      </c>
      <c r="L480" s="9">
        <v>39172.110002106725</v>
      </c>
    </row>
    <row r="481" spans="11:12" x14ac:dyDescent="0.25">
      <c r="K481" s="1">
        <v>469</v>
      </c>
      <c r="L481" s="9">
        <v>1320055.1969228429</v>
      </c>
    </row>
    <row r="482" spans="11:12" x14ac:dyDescent="0.25">
      <c r="K482" s="1">
        <v>470</v>
      </c>
      <c r="L482" s="9">
        <v>2272232.5193847809</v>
      </c>
    </row>
    <row r="483" spans="11:12" x14ac:dyDescent="0.25">
      <c r="K483" s="1">
        <v>471</v>
      </c>
      <c r="L483" s="9">
        <v>62150.785234902462</v>
      </c>
    </row>
    <row r="484" spans="11:12" x14ac:dyDescent="0.25">
      <c r="K484" s="1">
        <v>472</v>
      </c>
      <c r="L484" s="9">
        <v>2134183.7857988938</v>
      </c>
    </row>
    <row r="485" spans="11:12" x14ac:dyDescent="0.25">
      <c r="K485" s="1">
        <v>473</v>
      </c>
      <c r="L485" s="9">
        <v>622373.43125073472</v>
      </c>
    </row>
    <row r="486" spans="11:12" x14ac:dyDescent="0.25">
      <c r="K486" s="1">
        <v>474</v>
      </c>
      <c r="L486" s="9">
        <v>2388210.0030665863</v>
      </c>
    </row>
    <row r="487" spans="11:12" x14ac:dyDescent="0.25">
      <c r="K487" s="1">
        <v>475</v>
      </c>
      <c r="L487" s="9">
        <v>1332179.1507537484</v>
      </c>
    </row>
    <row r="488" spans="11:12" x14ac:dyDescent="0.25">
      <c r="K488" s="1">
        <v>476</v>
      </c>
      <c r="L488" s="9">
        <v>2273462.6999424659</v>
      </c>
    </row>
    <row r="489" spans="11:12" x14ac:dyDescent="0.25">
      <c r="K489" s="1">
        <v>477</v>
      </c>
      <c r="L489" s="9">
        <v>-185874.74469811234</v>
      </c>
    </row>
    <row r="490" spans="11:12" x14ac:dyDescent="0.25">
      <c r="K490" s="1">
        <v>478</v>
      </c>
      <c r="L490" s="9">
        <v>688734.2812882713</v>
      </c>
    </row>
    <row r="491" spans="11:12" x14ac:dyDescent="0.25">
      <c r="K491" s="1">
        <v>479</v>
      </c>
      <c r="L491" s="9">
        <v>2030300.0032103262</v>
      </c>
    </row>
    <row r="492" spans="11:12" x14ac:dyDescent="0.25">
      <c r="K492" s="1">
        <v>480</v>
      </c>
      <c r="L492" s="9">
        <v>1633336.0268306728</v>
      </c>
    </row>
    <row r="493" spans="11:12" x14ac:dyDescent="0.25">
      <c r="K493" s="1">
        <v>481</v>
      </c>
      <c r="L493" s="9">
        <v>1321740.7847942775</v>
      </c>
    </row>
    <row r="494" spans="11:12" x14ac:dyDescent="0.25">
      <c r="K494" s="1">
        <v>482</v>
      </c>
      <c r="L494" s="9">
        <v>2467523.6359682209</v>
      </c>
    </row>
    <row r="495" spans="11:12" x14ac:dyDescent="0.25">
      <c r="K495" s="1">
        <v>483</v>
      </c>
      <c r="L495" s="9">
        <v>1675994.1930254069</v>
      </c>
    </row>
    <row r="496" spans="11:12" x14ac:dyDescent="0.25">
      <c r="K496" s="1">
        <v>484</v>
      </c>
      <c r="L496" s="9">
        <v>1762039.2617102063</v>
      </c>
    </row>
    <row r="497" spans="11:12" x14ac:dyDescent="0.25">
      <c r="K497" s="1">
        <v>485</v>
      </c>
      <c r="L497" s="9">
        <v>-6600.1975664769998</v>
      </c>
    </row>
    <row r="498" spans="11:12" x14ac:dyDescent="0.25">
      <c r="K498" s="1">
        <v>486</v>
      </c>
      <c r="L498" s="9">
        <v>902151.04241658887</v>
      </c>
    </row>
    <row r="499" spans="11:12" x14ac:dyDescent="0.25">
      <c r="K499" s="1">
        <v>487</v>
      </c>
      <c r="L499" s="9">
        <v>-1643.5656206469284</v>
      </c>
    </row>
    <row r="500" spans="11:12" x14ac:dyDescent="0.25">
      <c r="K500" s="1">
        <v>488</v>
      </c>
      <c r="L500" s="9">
        <v>-78972.129945251174</v>
      </c>
    </row>
    <row r="501" spans="11:12" x14ac:dyDescent="0.25">
      <c r="K501" s="1">
        <v>489</v>
      </c>
      <c r="L501" s="9">
        <v>726105.39694865746</v>
      </c>
    </row>
    <row r="502" spans="11:12" x14ac:dyDescent="0.25">
      <c r="K502" s="1">
        <v>490</v>
      </c>
      <c r="L502" s="9">
        <v>519583.71813892969</v>
      </c>
    </row>
    <row r="503" spans="11:12" x14ac:dyDescent="0.25">
      <c r="K503" s="1">
        <v>491</v>
      </c>
      <c r="L503" s="9">
        <v>2430423.5242174859</v>
      </c>
    </row>
    <row r="504" spans="11:12" x14ac:dyDescent="0.25">
      <c r="K504" s="1">
        <v>492</v>
      </c>
      <c r="L504" s="9">
        <v>1810124.2025222066</v>
      </c>
    </row>
    <row r="505" spans="11:12" x14ac:dyDescent="0.25">
      <c r="K505" s="1">
        <v>493</v>
      </c>
      <c r="L505" s="9">
        <v>2659670.9460415933</v>
      </c>
    </row>
    <row r="506" spans="11:12" x14ac:dyDescent="0.25">
      <c r="K506" s="1">
        <v>494</v>
      </c>
      <c r="L506" s="9">
        <v>14783.115239754785</v>
      </c>
    </row>
    <row r="507" spans="11:12" x14ac:dyDescent="0.25">
      <c r="K507" s="1">
        <v>495</v>
      </c>
      <c r="L507" s="9">
        <v>1237828.9215252367</v>
      </c>
    </row>
    <row r="508" spans="11:12" x14ac:dyDescent="0.25">
      <c r="K508" s="1">
        <v>496</v>
      </c>
      <c r="L508" s="9">
        <v>1594802.4734370355</v>
      </c>
    </row>
    <row r="509" spans="11:12" x14ac:dyDescent="0.25">
      <c r="K509" s="1">
        <v>497</v>
      </c>
      <c r="L509" s="9">
        <v>596436.54023768776</v>
      </c>
    </row>
    <row r="510" spans="11:12" x14ac:dyDescent="0.25">
      <c r="K510" s="1">
        <v>498</v>
      </c>
      <c r="L510" s="9">
        <v>1616459.3743705484</v>
      </c>
    </row>
    <row r="511" spans="11:12" x14ac:dyDescent="0.25">
      <c r="K511" s="1">
        <v>499</v>
      </c>
      <c r="L511" s="9">
        <v>270252.83128431509</v>
      </c>
    </row>
    <row r="512" spans="11:12" x14ac:dyDescent="0.25">
      <c r="K512" s="1">
        <v>500</v>
      </c>
      <c r="L512" s="9">
        <v>-9947.8035579420393</v>
      </c>
    </row>
    <row r="513" spans="11:12" x14ac:dyDescent="0.25">
      <c r="K513" s="1">
        <v>501</v>
      </c>
      <c r="L513" s="9">
        <v>1046262.804888027</v>
      </c>
    </row>
    <row r="514" spans="11:12" x14ac:dyDescent="0.25">
      <c r="K514" s="1">
        <v>502</v>
      </c>
      <c r="L514" s="9">
        <v>453880.58987842314</v>
      </c>
    </row>
    <row r="515" spans="11:12" x14ac:dyDescent="0.25">
      <c r="K515" s="1">
        <v>503</v>
      </c>
      <c r="L515" s="9">
        <v>332055.80214698135</v>
      </c>
    </row>
    <row r="516" spans="11:12" x14ac:dyDescent="0.25">
      <c r="K516" s="1">
        <v>504</v>
      </c>
      <c r="L516" s="9">
        <v>843913.86212043092</v>
      </c>
    </row>
    <row r="517" spans="11:12" x14ac:dyDescent="0.25">
      <c r="K517" s="1">
        <v>505</v>
      </c>
      <c r="L517" s="9">
        <v>-412545.92162772769</v>
      </c>
    </row>
    <row r="518" spans="11:12" x14ac:dyDescent="0.25">
      <c r="K518" s="1">
        <v>506</v>
      </c>
      <c r="L518" s="9">
        <v>1937585.8027536147</v>
      </c>
    </row>
    <row r="519" spans="11:12" x14ac:dyDescent="0.25">
      <c r="K519" s="1">
        <v>507</v>
      </c>
      <c r="L519" s="9">
        <v>489933.2165444179</v>
      </c>
    </row>
    <row r="520" spans="11:12" x14ac:dyDescent="0.25">
      <c r="K520" s="1">
        <v>508</v>
      </c>
      <c r="L520" s="9">
        <v>1451686.7829339791</v>
      </c>
    </row>
    <row r="521" spans="11:12" x14ac:dyDescent="0.25">
      <c r="K521" s="1">
        <v>509</v>
      </c>
      <c r="L521" s="9">
        <v>571827.74519725528</v>
      </c>
    </row>
    <row r="522" spans="11:12" x14ac:dyDescent="0.25">
      <c r="K522" s="1">
        <v>510</v>
      </c>
      <c r="L522" s="9">
        <v>2883630.3543747291</v>
      </c>
    </row>
    <row r="523" spans="11:12" x14ac:dyDescent="0.25">
      <c r="K523" s="1">
        <v>511</v>
      </c>
      <c r="L523" s="9">
        <v>991915.45302655036</v>
      </c>
    </row>
    <row r="524" spans="11:12" x14ac:dyDescent="0.25">
      <c r="K524" s="1">
        <v>512</v>
      </c>
      <c r="L524" s="9">
        <v>747222.59714573575</v>
      </c>
    </row>
    <row r="525" spans="11:12" x14ac:dyDescent="0.25">
      <c r="K525" s="1">
        <v>513</v>
      </c>
      <c r="L525" s="9">
        <v>1435231.98202758</v>
      </c>
    </row>
    <row r="526" spans="11:12" x14ac:dyDescent="0.25">
      <c r="K526" s="1">
        <v>514</v>
      </c>
      <c r="L526" s="9">
        <v>345199.31423987693</v>
      </c>
    </row>
    <row r="527" spans="11:12" x14ac:dyDescent="0.25">
      <c r="K527" s="1">
        <v>515</v>
      </c>
      <c r="L527" s="9">
        <v>97292.947358220699</v>
      </c>
    </row>
    <row r="528" spans="11:12" x14ac:dyDescent="0.25">
      <c r="K528" s="1">
        <v>516</v>
      </c>
      <c r="L528" s="9">
        <v>513573.25612936937</v>
      </c>
    </row>
    <row r="529" spans="11:12" x14ac:dyDescent="0.25">
      <c r="K529" s="1">
        <v>517</v>
      </c>
      <c r="L529" s="9">
        <v>242915.92445893073</v>
      </c>
    </row>
    <row r="530" spans="11:12" x14ac:dyDescent="0.25">
      <c r="K530" s="1">
        <v>518</v>
      </c>
      <c r="L530" s="9">
        <v>-126766.75302165969</v>
      </c>
    </row>
    <row r="531" spans="11:12" x14ac:dyDescent="0.25">
      <c r="K531" s="1">
        <v>519</v>
      </c>
      <c r="L531" s="9">
        <v>555550.18859891524</v>
      </c>
    </row>
    <row r="532" spans="11:12" x14ac:dyDescent="0.25">
      <c r="K532" s="1">
        <v>520</v>
      </c>
      <c r="L532" s="9">
        <v>-221766.54386302791</v>
      </c>
    </row>
    <row r="533" spans="11:12" x14ac:dyDescent="0.25">
      <c r="K533" s="1">
        <v>521</v>
      </c>
      <c r="L533" s="9">
        <v>1121635.8215300685</v>
      </c>
    </row>
    <row r="534" spans="11:12" x14ac:dyDescent="0.25">
      <c r="K534" s="1">
        <v>522</v>
      </c>
      <c r="L534" s="9">
        <v>203491.08840127446</v>
      </c>
    </row>
    <row r="535" spans="11:12" x14ac:dyDescent="0.25">
      <c r="K535" s="1">
        <v>523</v>
      </c>
      <c r="L535" s="9">
        <v>29555.395163305104</v>
      </c>
    </row>
    <row r="536" spans="11:12" x14ac:dyDescent="0.25">
      <c r="K536" s="1">
        <v>524</v>
      </c>
      <c r="L536" s="9">
        <v>2250306.738833555</v>
      </c>
    </row>
    <row r="537" spans="11:12" x14ac:dyDescent="0.25">
      <c r="K537" s="1">
        <v>525</v>
      </c>
      <c r="L537" s="9">
        <v>1314328.2093450888</v>
      </c>
    </row>
    <row r="538" spans="11:12" x14ac:dyDescent="0.25">
      <c r="K538" s="1">
        <v>526</v>
      </c>
      <c r="L538" s="9">
        <v>984857.49227031088</v>
      </c>
    </row>
    <row r="539" spans="11:12" x14ac:dyDescent="0.25">
      <c r="K539" s="1">
        <v>527</v>
      </c>
      <c r="L539" s="9">
        <v>963825.24106580368</v>
      </c>
    </row>
    <row r="540" spans="11:12" x14ac:dyDescent="0.25">
      <c r="K540" s="1">
        <v>528</v>
      </c>
      <c r="L540" s="9">
        <v>589673.79022327997</v>
      </c>
    </row>
    <row r="541" spans="11:12" x14ac:dyDescent="0.25">
      <c r="K541" s="1">
        <v>529</v>
      </c>
      <c r="L541" s="9">
        <v>2650958.479952706</v>
      </c>
    </row>
    <row r="542" spans="11:12" x14ac:dyDescent="0.25">
      <c r="K542" s="1">
        <v>530</v>
      </c>
      <c r="L542" s="9">
        <v>882912.21287397482</v>
      </c>
    </row>
    <row r="543" spans="11:12" x14ac:dyDescent="0.25">
      <c r="K543" s="1">
        <v>531</v>
      </c>
      <c r="L543" s="9">
        <v>526679.49004937185</v>
      </c>
    </row>
    <row r="544" spans="11:12" x14ac:dyDescent="0.25">
      <c r="K544" s="1">
        <v>532</v>
      </c>
      <c r="L544" s="9">
        <v>714098.60787344619</v>
      </c>
    </row>
    <row r="545" spans="11:12" x14ac:dyDescent="0.25">
      <c r="K545" s="1">
        <v>533</v>
      </c>
      <c r="L545" s="9">
        <v>1286312.9026725721</v>
      </c>
    </row>
    <row r="546" spans="11:12" x14ac:dyDescent="0.25">
      <c r="K546" s="1">
        <v>534</v>
      </c>
      <c r="L546" s="9">
        <v>1327877.0313539691</v>
      </c>
    </row>
    <row r="547" spans="11:12" x14ac:dyDescent="0.25">
      <c r="K547" s="1">
        <v>535</v>
      </c>
      <c r="L547" s="9">
        <v>1903259.3574854797</v>
      </c>
    </row>
    <row r="548" spans="11:12" x14ac:dyDescent="0.25">
      <c r="K548" s="1">
        <v>536</v>
      </c>
      <c r="L548" s="9">
        <v>709818.34429076663</v>
      </c>
    </row>
    <row r="549" spans="11:12" x14ac:dyDescent="0.25">
      <c r="K549" s="1">
        <v>537</v>
      </c>
      <c r="L549" s="9">
        <v>1031788.6115049729</v>
      </c>
    </row>
    <row r="550" spans="11:12" x14ac:dyDescent="0.25">
      <c r="K550" s="1">
        <v>538</v>
      </c>
      <c r="L550" s="9">
        <v>591011.6079984</v>
      </c>
    </row>
    <row r="551" spans="11:12" x14ac:dyDescent="0.25">
      <c r="K551" s="1">
        <v>539</v>
      </c>
      <c r="L551" s="9">
        <v>1095873.4237375371</v>
      </c>
    </row>
    <row r="552" spans="11:12" x14ac:dyDescent="0.25">
      <c r="K552" s="1">
        <v>540</v>
      </c>
      <c r="L552" s="9">
        <v>1329415.3122575269</v>
      </c>
    </row>
    <row r="553" spans="11:12" x14ac:dyDescent="0.25">
      <c r="K553" s="1">
        <v>541</v>
      </c>
      <c r="L553" s="9">
        <v>775066.8230014795</v>
      </c>
    </row>
    <row r="554" spans="11:12" x14ac:dyDescent="0.25">
      <c r="K554" s="1">
        <v>542</v>
      </c>
      <c r="L554" s="9">
        <v>3551155.0925068893</v>
      </c>
    </row>
    <row r="555" spans="11:12" x14ac:dyDescent="0.25">
      <c r="K555" s="1">
        <v>543</v>
      </c>
      <c r="L555" s="9">
        <v>2310933.6213268256</v>
      </c>
    </row>
    <row r="556" spans="11:12" x14ac:dyDescent="0.25">
      <c r="K556" s="1">
        <v>544</v>
      </c>
      <c r="L556" s="9">
        <v>802920.06752152869</v>
      </c>
    </row>
    <row r="557" spans="11:12" x14ac:dyDescent="0.25">
      <c r="K557" s="1">
        <v>545</v>
      </c>
      <c r="L557" s="9">
        <v>1449407.8365256614</v>
      </c>
    </row>
    <row r="558" spans="11:12" x14ac:dyDescent="0.25">
      <c r="K558" s="1">
        <v>546</v>
      </c>
      <c r="L558" s="9">
        <v>617298.5245304734</v>
      </c>
    </row>
    <row r="559" spans="11:12" x14ac:dyDescent="0.25">
      <c r="K559" s="1">
        <v>547</v>
      </c>
      <c r="L559" s="9">
        <v>582699.61747874063</v>
      </c>
    </row>
    <row r="560" spans="11:12" x14ac:dyDescent="0.25">
      <c r="K560" s="1">
        <v>548</v>
      </c>
      <c r="L560" s="9">
        <v>4202032.380001192</v>
      </c>
    </row>
    <row r="561" spans="11:12" x14ac:dyDescent="0.25">
      <c r="K561" s="1">
        <v>549</v>
      </c>
      <c r="L561" s="9">
        <v>228581.94779992988</v>
      </c>
    </row>
    <row r="562" spans="11:12" x14ac:dyDescent="0.25">
      <c r="K562" s="1">
        <v>550</v>
      </c>
      <c r="L562" s="9">
        <v>772102.26225509553</v>
      </c>
    </row>
    <row r="563" spans="11:12" x14ac:dyDescent="0.25">
      <c r="K563" s="1">
        <v>551</v>
      </c>
      <c r="L563" s="9">
        <v>485489.15007133316</v>
      </c>
    </row>
    <row r="564" spans="11:12" x14ac:dyDescent="0.25">
      <c r="K564" s="1">
        <v>552</v>
      </c>
      <c r="L564" s="9">
        <v>1448338.5015081502</v>
      </c>
    </row>
    <row r="565" spans="11:12" x14ac:dyDescent="0.25">
      <c r="K565" s="1">
        <v>553</v>
      </c>
      <c r="L565" s="9">
        <v>1943726.9352483517</v>
      </c>
    </row>
    <row r="566" spans="11:12" x14ac:dyDescent="0.25">
      <c r="K566" s="1">
        <v>554</v>
      </c>
      <c r="L566" s="9">
        <v>2655554.200885138</v>
      </c>
    </row>
    <row r="567" spans="11:12" x14ac:dyDescent="0.25">
      <c r="K567" s="1">
        <v>555</v>
      </c>
      <c r="L567" s="9">
        <v>3123533.6296132887</v>
      </c>
    </row>
    <row r="568" spans="11:12" x14ac:dyDescent="0.25">
      <c r="K568" s="1">
        <v>556</v>
      </c>
      <c r="L568" s="9">
        <v>2496774.404845506</v>
      </c>
    </row>
    <row r="569" spans="11:12" x14ac:dyDescent="0.25">
      <c r="K569" s="1">
        <v>557</v>
      </c>
      <c r="L569" s="9">
        <v>999745.86808982771</v>
      </c>
    </row>
    <row r="570" spans="11:12" x14ac:dyDescent="0.25">
      <c r="K570" s="1">
        <v>558</v>
      </c>
      <c r="L570" s="9">
        <v>804751.13707824808</v>
      </c>
    </row>
    <row r="571" spans="11:12" x14ac:dyDescent="0.25">
      <c r="K571" s="1">
        <v>559</v>
      </c>
      <c r="L571" s="9">
        <v>398608.51011409517</v>
      </c>
    </row>
    <row r="572" spans="11:12" x14ac:dyDescent="0.25">
      <c r="K572" s="1">
        <v>560</v>
      </c>
      <c r="L572" s="9">
        <v>630462.06593497703</v>
      </c>
    </row>
    <row r="573" spans="11:12" x14ac:dyDescent="0.25">
      <c r="K573" s="1">
        <v>561</v>
      </c>
      <c r="L573" s="9">
        <v>1086656.8190194336</v>
      </c>
    </row>
    <row r="574" spans="11:12" x14ac:dyDescent="0.25">
      <c r="K574" s="1">
        <v>562</v>
      </c>
      <c r="L574" s="9">
        <v>407288.70942501642</v>
      </c>
    </row>
    <row r="575" spans="11:12" x14ac:dyDescent="0.25">
      <c r="K575" s="1">
        <v>563</v>
      </c>
      <c r="L575" s="9">
        <v>1806001.5283888183</v>
      </c>
    </row>
    <row r="576" spans="11:12" x14ac:dyDescent="0.25">
      <c r="K576" s="1">
        <v>564</v>
      </c>
      <c r="L576" s="9">
        <v>1846305.3444831995</v>
      </c>
    </row>
    <row r="577" spans="11:12" x14ac:dyDescent="0.25">
      <c r="K577" s="1">
        <v>565</v>
      </c>
      <c r="L577" s="9">
        <v>1243742.7027973686</v>
      </c>
    </row>
    <row r="578" spans="11:12" x14ac:dyDescent="0.25">
      <c r="K578" s="1">
        <v>566</v>
      </c>
      <c r="L578" s="9">
        <v>1270240.1988823963</v>
      </c>
    </row>
    <row r="579" spans="11:12" x14ac:dyDescent="0.25">
      <c r="K579" s="1">
        <v>567</v>
      </c>
      <c r="L579" s="9">
        <v>1212892.4951435211</v>
      </c>
    </row>
    <row r="580" spans="11:12" x14ac:dyDescent="0.25">
      <c r="K580" s="1">
        <v>568</v>
      </c>
      <c r="L580" s="9">
        <v>1807789.7167341197</v>
      </c>
    </row>
    <row r="581" spans="11:12" x14ac:dyDescent="0.25">
      <c r="K581" s="1">
        <v>569</v>
      </c>
      <c r="L581" s="9">
        <v>3842432.4612973807</v>
      </c>
    </row>
    <row r="582" spans="11:12" x14ac:dyDescent="0.25">
      <c r="K582" s="1">
        <v>570</v>
      </c>
      <c r="L582" s="9">
        <v>1371452.9583184477</v>
      </c>
    </row>
    <row r="583" spans="11:12" x14ac:dyDescent="0.25">
      <c r="K583" s="1">
        <v>571</v>
      </c>
      <c r="L583" s="9">
        <v>1898602.6917413184</v>
      </c>
    </row>
    <row r="584" spans="11:12" x14ac:dyDescent="0.25">
      <c r="K584" s="1">
        <v>572</v>
      </c>
      <c r="L584" s="9">
        <v>1071129.0680259096</v>
      </c>
    </row>
    <row r="585" spans="11:12" x14ac:dyDescent="0.25">
      <c r="K585" s="1">
        <v>573</v>
      </c>
      <c r="L585" s="9">
        <v>910172.51301314007</v>
      </c>
    </row>
    <row r="586" spans="11:12" x14ac:dyDescent="0.25">
      <c r="K586" s="1">
        <v>574</v>
      </c>
      <c r="L586" s="9">
        <v>941240.58148520649</v>
      </c>
    </row>
    <row r="587" spans="11:12" x14ac:dyDescent="0.25">
      <c r="K587" s="1">
        <v>575</v>
      </c>
      <c r="L587" s="9">
        <v>1473112.5554066123</v>
      </c>
    </row>
    <row r="588" spans="11:12" x14ac:dyDescent="0.25">
      <c r="K588" s="1">
        <v>576</v>
      </c>
      <c r="L588" s="9">
        <v>2776268.845528522</v>
      </c>
    </row>
    <row r="589" spans="11:12" x14ac:dyDescent="0.25">
      <c r="K589" s="1">
        <v>577</v>
      </c>
      <c r="L589" s="9">
        <v>171873.59308369254</v>
      </c>
    </row>
    <row r="590" spans="11:12" x14ac:dyDescent="0.25">
      <c r="K590" s="1">
        <v>578</v>
      </c>
      <c r="L590" s="9">
        <v>2378295.2419993645</v>
      </c>
    </row>
    <row r="591" spans="11:12" x14ac:dyDescent="0.25">
      <c r="K591" s="1">
        <v>579</v>
      </c>
      <c r="L591" s="9">
        <v>642000.6679073947</v>
      </c>
    </row>
    <row r="592" spans="11:12" x14ac:dyDescent="0.25">
      <c r="K592" s="1">
        <v>580</v>
      </c>
      <c r="L592" s="9">
        <v>450814.16919040028</v>
      </c>
    </row>
    <row r="593" spans="11:12" x14ac:dyDescent="0.25">
      <c r="K593" s="1">
        <v>581</v>
      </c>
      <c r="L593" s="9">
        <v>1202599.7531238461</v>
      </c>
    </row>
    <row r="594" spans="11:12" x14ac:dyDescent="0.25">
      <c r="K594" s="1">
        <v>582</v>
      </c>
      <c r="L594" s="9">
        <v>441040.92696367484</v>
      </c>
    </row>
    <row r="595" spans="11:12" x14ac:dyDescent="0.25">
      <c r="K595" s="1">
        <v>583</v>
      </c>
      <c r="L595" s="9">
        <v>2340648.3024759446</v>
      </c>
    </row>
    <row r="596" spans="11:12" x14ac:dyDescent="0.25">
      <c r="K596" s="1">
        <v>584</v>
      </c>
      <c r="L596" s="9">
        <v>3037826.8793074051</v>
      </c>
    </row>
    <row r="597" spans="11:12" x14ac:dyDescent="0.25">
      <c r="K597" s="1">
        <v>585</v>
      </c>
      <c r="L597" s="9">
        <v>506477.74096236681</v>
      </c>
    </row>
    <row r="598" spans="11:12" x14ac:dyDescent="0.25">
      <c r="K598" s="1">
        <v>586</v>
      </c>
      <c r="L598" s="9">
        <v>2162647.9488511244</v>
      </c>
    </row>
    <row r="599" spans="11:12" x14ac:dyDescent="0.25">
      <c r="K599" s="1">
        <v>587</v>
      </c>
      <c r="L599" s="9">
        <v>2534365.4613753492</v>
      </c>
    </row>
    <row r="600" spans="11:12" x14ac:dyDescent="0.25">
      <c r="K600" s="1">
        <v>588</v>
      </c>
      <c r="L600" s="9">
        <v>873661.47209840966</v>
      </c>
    </row>
    <row r="601" spans="11:12" x14ac:dyDescent="0.25">
      <c r="K601" s="1">
        <v>589</v>
      </c>
      <c r="L601" s="9">
        <v>1188342.9425621023</v>
      </c>
    </row>
    <row r="602" spans="11:12" x14ac:dyDescent="0.25">
      <c r="K602" s="1">
        <v>590</v>
      </c>
      <c r="L602" s="9">
        <v>422935.91294533294</v>
      </c>
    </row>
    <row r="603" spans="11:12" x14ac:dyDescent="0.25">
      <c r="K603" s="1">
        <v>591</v>
      </c>
      <c r="L603" s="9">
        <v>1322356.9713143718</v>
      </c>
    </row>
    <row r="604" spans="11:12" x14ac:dyDescent="0.25">
      <c r="K604" s="1">
        <v>592</v>
      </c>
      <c r="L604" s="9">
        <v>-245967.43664757803</v>
      </c>
    </row>
    <row r="605" spans="11:12" x14ac:dyDescent="0.25">
      <c r="K605" s="1">
        <v>593</v>
      </c>
      <c r="L605" s="9">
        <v>7368.7583159565693</v>
      </c>
    </row>
    <row r="606" spans="11:12" x14ac:dyDescent="0.25">
      <c r="K606" s="1">
        <v>594</v>
      </c>
      <c r="L606" s="9">
        <v>3723179.0985107739</v>
      </c>
    </row>
    <row r="607" spans="11:12" x14ac:dyDescent="0.25">
      <c r="K607" s="1">
        <v>595</v>
      </c>
      <c r="L607" s="9">
        <v>1446179.1954040744</v>
      </c>
    </row>
    <row r="608" spans="11:12" x14ac:dyDescent="0.25">
      <c r="K608" s="1">
        <v>596</v>
      </c>
      <c r="L608" s="9">
        <v>1244606.2761234054</v>
      </c>
    </row>
    <row r="609" spans="11:12" x14ac:dyDescent="0.25">
      <c r="K609" s="1">
        <v>597</v>
      </c>
      <c r="L609" s="9">
        <v>2178922.6256682985</v>
      </c>
    </row>
    <row r="610" spans="11:12" x14ac:dyDescent="0.25">
      <c r="K610" s="1">
        <v>598</v>
      </c>
      <c r="L610" s="9">
        <v>487823.68793556211</v>
      </c>
    </row>
    <row r="611" spans="11:12" x14ac:dyDescent="0.25">
      <c r="K611" s="1">
        <v>599</v>
      </c>
      <c r="L611" s="9">
        <v>319365.55969598412</v>
      </c>
    </row>
    <row r="612" spans="11:12" x14ac:dyDescent="0.25">
      <c r="K612" s="1">
        <v>600</v>
      </c>
      <c r="L612" s="9">
        <v>384534.12231499399</v>
      </c>
    </row>
    <row r="613" spans="11:12" x14ac:dyDescent="0.25">
      <c r="K613" s="1">
        <v>601</v>
      </c>
      <c r="L613" s="9">
        <v>744500.37941655959</v>
      </c>
    </row>
    <row r="614" spans="11:12" x14ac:dyDescent="0.25">
      <c r="K614" s="1">
        <v>602</v>
      </c>
      <c r="L614" s="9">
        <v>887671.30918315565</v>
      </c>
    </row>
    <row r="615" spans="11:12" x14ac:dyDescent="0.25">
      <c r="K615" s="1">
        <v>603</v>
      </c>
      <c r="L615" s="9">
        <v>529299.29269629577</v>
      </c>
    </row>
    <row r="616" spans="11:12" x14ac:dyDescent="0.25">
      <c r="K616" s="1">
        <v>604</v>
      </c>
      <c r="L616" s="9">
        <v>3130001.992486591</v>
      </c>
    </row>
    <row r="617" spans="11:12" x14ac:dyDescent="0.25">
      <c r="K617" s="1">
        <v>605</v>
      </c>
      <c r="L617" s="9">
        <v>1196429.134038181</v>
      </c>
    </row>
    <row r="618" spans="11:12" x14ac:dyDescent="0.25">
      <c r="K618" s="1">
        <v>606</v>
      </c>
      <c r="L618" s="9">
        <v>2680899.4894555593</v>
      </c>
    </row>
    <row r="619" spans="11:12" x14ac:dyDescent="0.25">
      <c r="K619" s="1">
        <v>607</v>
      </c>
      <c r="L619" s="9">
        <v>1497696.3248988497</v>
      </c>
    </row>
    <row r="620" spans="11:12" x14ac:dyDescent="0.25">
      <c r="K620" s="1">
        <v>608</v>
      </c>
      <c r="L620" s="9">
        <v>748781.32273993944</v>
      </c>
    </row>
    <row r="621" spans="11:12" x14ac:dyDescent="0.25">
      <c r="K621" s="1">
        <v>609</v>
      </c>
      <c r="L621" s="9">
        <v>246974.73786559881</v>
      </c>
    </row>
    <row r="622" spans="11:12" x14ac:dyDescent="0.25">
      <c r="K622" s="1">
        <v>610</v>
      </c>
      <c r="L622" s="9">
        <v>845360.94192714361</v>
      </c>
    </row>
    <row r="623" spans="11:12" x14ac:dyDescent="0.25">
      <c r="K623" s="1">
        <v>611</v>
      </c>
      <c r="L623" s="9">
        <v>898879.45163437072</v>
      </c>
    </row>
    <row r="624" spans="11:12" x14ac:dyDescent="0.25">
      <c r="K624" s="1">
        <v>612</v>
      </c>
      <c r="L624" s="9">
        <v>187294.42212442227</v>
      </c>
    </row>
    <row r="625" spans="11:12" x14ac:dyDescent="0.25">
      <c r="K625" s="1">
        <v>613</v>
      </c>
      <c r="L625" s="9">
        <v>982482.11942802416</v>
      </c>
    </row>
    <row r="626" spans="11:12" x14ac:dyDescent="0.25">
      <c r="K626" s="1">
        <v>614</v>
      </c>
      <c r="L626" s="9">
        <v>891938.32471597986</v>
      </c>
    </row>
    <row r="627" spans="11:12" x14ac:dyDescent="0.25">
      <c r="K627" s="1">
        <v>615</v>
      </c>
      <c r="L627" s="9">
        <v>871694.00491954456</v>
      </c>
    </row>
    <row r="628" spans="11:12" x14ac:dyDescent="0.25">
      <c r="K628" s="1">
        <v>616</v>
      </c>
      <c r="L628" s="9">
        <v>1355553.7302123525</v>
      </c>
    </row>
    <row r="629" spans="11:12" x14ac:dyDescent="0.25">
      <c r="K629" s="1">
        <v>617</v>
      </c>
      <c r="L629" s="9">
        <v>834556.25636323192</v>
      </c>
    </row>
    <row r="630" spans="11:12" x14ac:dyDescent="0.25">
      <c r="K630" s="1">
        <v>618</v>
      </c>
      <c r="L630" s="9">
        <v>1182801.0925956671</v>
      </c>
    </row>
    <row r="631" spans="11:12" x14ac:dyDescent="0.25">
      <c r="K631" s="1">
        <v>619</v>
      </c>
      <c r="L631" s="9">
        <v>1126604.9761304765</v>
      </c>
    </row>
    <row r="632" spans="11:12" x14ac:dyDescent="0.25">
      <c r="K632" s="1">
        <v>620</v>
      </c>
      <c r="L632" s="9">
        <v>809976.43412990414</v>
      </c>
    </row>
    <row r="633" spans="11:12" x14ac:dyDescent="0.25">
      <c r="K633" s="1">
        <v>621</v>
      </c>
      <c r="L633" s="9">
        <v>969729.66487155529</v>
      </c>
    </row>
    <row r="634" spans="11:12" x14ac:dyDescent="0.25">
      <c r="K634" s="1">
        <v>622</v>
      </c>
      <c r="L634" s="9">
        <v>935688.5003160364</v>
      </c>
    </row>
    <row r="635" spans="11:12" x14ac:dyDescent="0.25">
      <c r="K635" s="1">
        <v>623</v>
      </c>
      <c r="L635" s="9">
        <v>625244.9205771985</v>
      </c>
    </row>
    <row r="636" spans="11:12" x14ac:dyDescent="0.25">
      <c r="K636" s="1">
        <v>624</v>
      </c>
      <c r="L636" s="9">
        <v>1513075.2571507609</v>
      </c>
    </row>
    <row r="637" spans="11:12" x14ac:dyDescent="0.25">
      <c r="K637" s="1">
        <v>625</v>
      </c>
      <c r="L637" s="9">
        <v>743872.33297496103</v>
      </c>
    </row>
    <row r="638" spans="11:12" x14ac:dyDescent="0.25">
      <c r="K638" s="1">
        <v>626</v>
      </c>
      <c r="L638" s="9">
        <v>1242667.7318368908</v>
      </c>
    </row>
    <row r="639" spans="11:12" x14ac:dyDescent="0.25">
      <c r="K639" s="1">
        <v>627</v>
      </c>
      <c r="L639" s="9">
        <v>-8228.1338772728341</v>
      </c>
    </row>
    <row r="640" spans="11:12" x14ac:dyDescent="0.25">
      <c r="K640" s="1">
        <v>628</v>
      </c>
      <c r="L640" s="9">
        <v>2716395.9602486268</v>
      </c>
    </row>
    <row r="641" spans="11:12" x14ac:dyDescent="0.25">
      <c r="K641" s="1">
        <v>629</v>
      </c>
      <c r="L641" s="9">
        <v>856808.98269175133</v>
      </c>
    </row>
    <row r="642" spans="11:12" x14ac:dyDescent="0.25">
      <c r="K642" s="1">
        <v>630</v>
      </c>
      <c r="L642" s="9">
        <v>830425.31586795836</v>
      </c>
    </row>
    <row r="643" spans="11:12" x14ac:dyDescent="0.25">
      <c r="K643" s="1">
        <v>631</v>
      </c>
      <c r="L643" s="9">
        <v>1359689.9020450269</v>
      </c>
    </row>
    <row r="644" spans="11:12" x14ac:dyDescent="0.25">
      <c r="K644" s="1">
        <v>632</v>
      </c>
      <c r="L644" s="9">
        <v>1310751.6640117601</v>
      </c>
    </row>
    <row r="645" spans="11:12" x14ac:dyDescent="0.25">
      <c r="K645" s="1">
        <v>633</v>
      </c>
      <c r="L645" s="9">
        <v>-263120.25311258773</v>
      </c>
    </row>
    <row r="646" spans="11:12" x14ac:dyDescent="0.25">
      <c r="K646" s="1">
        <v>634</v>
      </c>
      <c r="L646" s="9">
        <v>445523.71720598126</v>
      </c>
    </row>
    <row r="647" spans="11:12" x14ac:dyDescent="0.25">
      <c r="K647" s="1">
        <v>635</v>
      </c>
      <c r="L647" s="9">
        <v>-196527.72730405504</v>
      </c>
    </row>
    <row r="648" spans="11:12" x14ac:dyDescent="0.25">
      <c r="K648" s="1">
        <v>636</v>
      </c>
      <c r="L648" s="9">
        <v>948326.97623277991</v>
      </c>
    </row>
    <row r="649" spans="11:12" x14ac:dyDescent="0.25">
      <c r="K649" s="1">
        <v>637</v>
      </c>
      <c r="L649" s="9">
        <v>2698177.2176436447</v>
      </c>
    </row>
    <row r="650" spans="11:12" x14ac:dyDescent="0.25">
      <c r="K650" s="1">
        <v>638</v>
      </c>
      <c r="L650" s="9">
        <v>2093249.5213150606</v>
      </c>
    </row>
    <row r="651" spans="11:12" x14ac:dyDescent="0.25">
      <c r="K651" s="1">
        <v>639</v>
      </c>
      <c r="L651" s="9">
        <v>5456914.437377952</v>
      </c>
    </row>
    <row r="652" spans="11:12" x14ac:dyDescent="0.25">
      <c r="K652" s="1">
        <v>640</v>
      </c>
      <c r="L652" s="9">
        <v>2003959.7798154266</v>
      </c>
    </row>
    <row r="653" spans="11:12" x14ac:dyDescent="0.25">
      <c r="K653" s="1">
        <v>641</v>
      </c>
      <c r="L653" s="9">
        <v>64921.16719317052</v>
      </c>
    </row>
    <row r="654" spans="11:12" x14ac:dyDescent="0.25">
      <c r="K654" s="1">
        <v>642</v>
      </c>
      <c r="L654" s="9">
        <v>2940074.6930805817</v>
      </c>
    </row>
    <row r="655" spans="11:12" x14ac:dyDescent="0.25">
      <c r="K655" s="1">
        <v>643</v>
      </c>
      <c r="L655" s="9">
        <v>797816.84092435287</v>
      </c>
    </row>
    <row r="656" spans="11:12" x14ac:dyDescent="0.25">
      <c r="K656" s="1">
        <v>644</v>
      </c>
      <c r="L656" s="9">
        <v>1956187.9642674932</v>
      </c>
    </row>
    <row r="657" spans="11:12" x14ac:dyDescent="0.25">
      <c r="K657" s="1">
        <v>645</v>
      </c>
      <c r="L657" s="9">
        <v>2613129.3766363533</v>
      </c>
    </row>
    <row r="658" spans="11:12" x14ac:dyDescent="0.25">
      <c r="K658" s="1">
        <v>646</v>
      </c>
      <c r="L658" s="9">
        <v>2255442.8841565754</v>
      </c>
    </row>
    <row r="659" spans="11:12" x14ac:dyDescent="0.25">
      <c r="K659" s="1">
        <v>647</v>
      </c>
      <c r="L659" s="9">
        <v>221758.56791770225</v>
      </c>
    </row>
    <row r="660" spans="11:12" x14ac:dyDescent="0.25">
      <c r="K660" s="1">
        <v>648</v>
      </c>
      <c r="L660" s="9">
        <v>-469482.26556854101</v>
      </c>
    </row>
    <row r="661" spans="11:12" x14ac:dyDescent="0.25">
      <c r="K661" s="1">
        <v>649</v>
      </c>
      <c r="L661" s="9">
        <v>127448.42556690273</v>
      </c>
    </row>
    <row r="662" spans="11:12" x14ac:dyDescent="0.25">
      <c r="K662" s="1">
        <v>650</v>
      </c>
      <c r="L662" s="9">
        <v>1298024.6421515676</v>
      </c>
    </row>
    <row r="663" spans="11:12" x14ac:dyDescent="0.25">
      <c r="K663" s="1">
        <v>651</v>
      </c>
      <c r="L663" s="9">
        <v>865971.6788197828</v>
      </c>
    </row>
    <row r="664" spans="11:12" x14ac:dyDescent="0.25">
      <c r="K664" s="1">
        <v>652</v>
      </c>
      <c r="L664" s="9">
        <v>249096.36632194766</v>
      </c>
    </row>
    <row r="665" spans="11:12" x14ac:dyDescent="0.25">
      <c r="K665" s="1">
        <v>653</v>
      </c>
      <c r="L665" s="9">
        <v>90061.305501576222</v>
      </c>
    </row>
    <row r="666" spans="11:12" x14ac:dyDescent="0.25">
      <c r="K666" s="1">
        <v>654</v>
      </c>
      <c r="L666" s="9">
        <v>883450.66372591723</v>
      </c>
    </row>
    <row r="667" spans="11:12" x14ac:dyDescent="0.25">
      <c r="K667" s="1">
        <v>655</v>
      </c>
      <c r="L667" s="9">
        <v>2735619.67105438</v>
      </c>
    </row>
    <row r="668" spans="11:12" x14ac:dyDescent="0.25">
      <c r="K668" s="1">
        <v>656</v>
      </c>
      <c r="L668" s="9">
        <v>2353016.7268094346</v>
      </c>
    </row>
    <row r="669" spans="11:12" x14ac:dyDescent="0.25">
      <c r="K669" s="1">
        <v>657</v>
      </c>
      <c r="L669" s="9">
        <v>1189677.9038411137</v>
      </c>
    </row>
    <row r="670" spans="11:12" x14ac:dyDescent="0.25">
      <c r="K670" s="1">
        <v>658</v>
      </c>
      <c r="L670" s="9">
        <v>506531.93319970788</v>
      </c>
    </row>
    <row r="671" spans="11:12" x14ac:dyDescent="0.25">
      <c r="K671" s="1">
        <v>659</v>
      </c>
      <c r="L671" s="9">
        <v>1518515.2721796613</v>
      </c>
    </row>
    <row r="672" spans="11:12" x14ac:dyDescent="0.25">
      <c r="K672" s="1">
        <v>660</v>
      </c>
      <c r="L672" s="9">
        <v>1773700.8384442586</v>
      </c>
    </row>
    <row r="673" spans="11:12" x14ac:dyDescent="0.25">
      <c r="K673" s="1">
        <v>661</v>
      </c>
      <c r="L673" s="9">
        <v>1609417.7229836839</v>
      </c>
    </row>
    <row r="674" spans="11:12" x14ac:dyDescent="0.25">
      <c r="K674" s="1">
        <v>662</v>
      </c>
      <c r="L674" s="9">
        <v>1295756.8509626542</v>
      </c>
    </row>
    <row r="675" spans="11:12" x14ac:dyDescent="0.25">
      <c r="K675" s="1">
        <v>663</v>
      </c>
      <c r="L675" s="9">
        <v>579919.32266527042</v>
      </c>
    </row>
    <row r="676" spans="11:12" x14ac:dyDescent="0.25">
      <c r="K676" s="1">
        <v>664</v>
      </c>
      <c r="L676" s="9">
        <v>840356.39906294574</v>
      </c>
    </row>
    <row r="677" spans="11:12" x14ac:dyDescent="0.25">
      <c r="K677" s="1">
        <v>665</v>
      </c>
      <c r="L677" s="9">
        <v>1379191.1879137296</v>
      </c>
    </row>
    <row r="678" spans="11:12" x14ac:dyDescent="0.25">
      <c r="K678" s="1">
        <v>666</v>
      </c>
      <c r="L678" s="9">
        <v>1655095.6621040781</v>
      </c>
    </row>
    <row r="679" spans="11:12" x14ac:dyDescent="0.25">
      <c r="K679" s="1">
        <v>667</v>
      </c>
      <c r="L679" s="9">
        <v>1056913.3588202</v>
      </c>
    </row>
    <row r="680" spans="11:12" x14ac:dyDescent="0.25">
      <c r="K680" s="1">
        <v>668</v>
      </c>
      <c r="L680" s="9">
        <v>-340992.06065389083</v>
      </c>
    </row>
    <row r="681" spans="11:12" x14ac:dyDescent="0.25">
      <c r="K681" s="1">
        <v>669</v>
      </c>
      <c r="L681" s="9">
        <v>1633087.1430015699</v>
      </c>
    </row>
    <row r="682" spans="11:12" x14ac:dyDescent="0.25">
      <c r="K682" s="1">
        <v>670</v>
      </c>
      <c r="L682" s="9">
        <v>1778937.3166794297</v>
      </c>
    </row>
    <row r="683" spans="11:12" x14ac:dyDescent="0.25">
      <c r="K683" s="1">
        <v>671</v>
      </c>
      <c r="L683" s="9">
        <v>2020788.2494381052</v>
      </c>
    </row>
    <row r="684" spans="11:12" x14ac:dyDescent="0.25">
      <c r="K684" s="1">
        <v>672</v>
      </c>
      <c r="L684" s="9">
        <v>1115007.2174123679</v>
      </c>
    </row>
    <row r="685" spans="11:12" x14ac:dyDescent="0.25">
      <c r="K685" s="1">
        <v>673</v>
      </c>
      <c r="L685" s="9">
        <v>1302631.439350782</v>
      </c>
    </row>
    <row r="686" spans="11:12" x14ac:dyDescent="0.25">
      <c r="K686" s="1">
        <v>674</v>
      </c>
      <c r="L686" s="9">
        <v>1357129.6172775812</v>
      </c>
    </row>
    <row r="687" spans="11:12" x14ac:dyDescent="0.25">
      <c r="K687" s="1">
        <v>675</v>
      </c>
      <c r="L687" s="9">
        <v>926043.55267074401</v>
      </c>
    </row>
    <row r="688" spans="11:12" x14ac:dyDescent="0.25">
      <c r="K688" s="1">
        <v>676</v>
      </c>
      <c r="L688" s="9">
        <v>364017.97542357363</v>
      </c>
    </row>
    <row r="689" spans="11:12" x14ac:dyDescent="0.25">
      <c r="K689" s="1">
        <v>677</v>
      </c>
      <c r="L689" s="9">
        <v>2093713.9732903317</v>
      </c>
    </row>
    <row r="690" spans="11:12" x14ac:dyDescent="0.25">
      <c r="K690" s="1">
        <v>678</v>
      </c>
      <c r="L690" s="9">
        <v>958598.05704972753</v>
      </c>
    </row>
    <row r="691" spans="11:12" x14ac:dyDescent="0.25">
      <c r="K691" s="1">
        <v>679</v>
      </c>
      <c r="L691" s="9">
        <v>1239189.825822531</v>
      </c>
    </row>
    <row r="692" spans="11:12" x14ac:dyDescent="0.25">
      <c r="K692" s="1">
        <v>680</v>
      </c>
      <c r="L692" s="9">
        <v>485388.13987871958</v>
      </c>
    </row>
    <row r="693" spans="11:12" x14ac:dyDescent="0.25">
      <c r="K693" s="1">
        <v>681</v>
      </c>
      <c r="L693" s="9">
        <v>555569.77956012392</v>
      </c>
    </row>
    <row r="694" spans="11:12" x14ac:dyDescent="0.25">
      <c r="K694" s="1">
        <v>682</v>
      </c>
      <c r="L694" s="9">
        <v>939666.71376428613</v>
      </c>
    </row>
    <row r="695" spans="11:12" x14ac:dyDescent="0.25">
      <c r="K695" s="1">
        <v>683</v>
      </c>
      <c r="L695" s="9">
        <v>3799851.580982279</v>
      </c>
    </row>
    <row r="696" spans="11:12" x14ac:dyDescent="0.25">
      <c r="K696" s="1">
        <v>684</v>
      </c>
      <c r="L696" s="9">
        <v>666864.76068692212</v>
      </c>
    </row>
    <row r="697" spans="11:12" x14ac:dyDescent="0.25">
      <c r="K697" s="1">
        <v>685</v>
      </c>
      <c r="L697" s="9">
        <v>681610.29885947425</v>
      </c>
    </row>
    <row r="698" spans="11:12" x14ac:dyDescent="0.25">
      <c r="K698" s="1">
        <v>686</v>
      </c>
      <c r="L698" s="9">
        <v>581006.73012183059</v>
      </c>
    </row>
    <row r="699" spans="11:12" x14ac:dyDescent="0.25">
      <c r="K699" s="1">
        <v>687</v>
      </c>
      <c r="L699" s="9">
        <v>1588719.5681824817</v>
      </c>
    </row>
    <row r="700" spans="11:12" x14ac:dyDescent="0.25">
      <c r="K700" s="1">
        <v>688</v>
      </c>
      <c r="L700" s="9">
        <v>-382598.8348979986</v>
      </c>
    </row>
    <row r="701" spans="11:12" x14ac:dyDescent="0.25">
      <c r="K701" s="1">
        <v>689</v>
      </c>
      <c r="L701" s="9">
        <v>1504988.031217624</v>
      </c>
    </row>
    <row r="702" spans="11:12" x14ac:dyDescent="0.25">
      <c r="K702" s="1">
        <v>690</v>
      </c>
      <c r="L702" s="9">
        <v>938177.97399606765</v>
      </c>
    </row>
    <row r="703" spans="11:12" x14ac:dyDescent="0.25">
      <c r="K703" s="1">
        <v>691</v>
      </c>
      <c r="L703" s="9">
        <v>-246176.97785575583</v>
      </c>
    </row>
    <row r="704" spans="11:12" x14ac:dyDescent="0.25">
      <c r="K704" s="1">
        <v>692</v>
      </c>
      <c r="L704" s="9">
        <v>3703871.4315222213</v>
      </c>
    </row>
    <row r="705" spans="11:12" x14ac:dyDescent="0.25">
      <c r="K705" s="1">
        <v>693</v>
      </c>
      <c r="L705" s="9">
        <v>1233674.0784136916</v>
      </c>
    </row>
    <row r="706" spans="11:12" x14ac:dyDescent="0.25">
      <c r="K706" s="1">
        <v>694</v>
      </c>
      <c r="L706" s="9">
        <v>865475.92857363611</v>
      </c>
    </row>
    <row r="707" spans="11:12" x14ac:dyDescent="0.25">
      <c r="K707" s="1">
        <v>695</v>
      </c>
      <c r="L707" s="9">
        <v>1957203.2478833157</v>
      </c>
    </row>
    <row r="708" spans="11:12" x14ac:dyDescent="0.25">
      <c r="K708" s="1">
        <v>696</v>
      </c>
      <c r="L708" s="9">
        <v>-570831.68546087015</v>
      </c>
    </row>
    <row r="709" spans="11:12" x14ac:dyDescent="0.25">
      <c r="K709" s="1">
        <v>697</v>
      </c>
      <c r="L709" s="9">
        <v>412647.01258680224</v>
      </c>
    </row>
    <row r="710" spans="11:12" x14ac:dyDescent="0.25">
      <c r="K710" s="1">
        <v>698</v>
      </c>
      <c r="L710" s="9">
        <v>1003991.5180969611</v>
      </c>
    </row>
    <row r="711" spans="11:12" x14ac:dyDescent="0.25">
      <c r="K711" s="1">
        <v>699</v>
      </c>
      <c r="L711" s="9">
        <v>2007682.8834918346</v>
      </c>
    </row>
    <row r="712" spans="11:12" x14ac:dyDescent="0.25">
      <c r="K712" s="1">
        <v>700</v>
      </c>
      <c r="L712" s="9">
        <v>1175480.1647482428</v>
      </c>
    </row>
    <row r="713" spans="11:12" x14ac:dyDescent="0.25">
      <c r="K713" s="1">
        <v>701</v>
      </c>
      <c r="L713" s="9">
        <v>1326830.0523105781</v>
      </c>
    </row>
    <row r="714" spans="11:12" x14ac:dyDescent="0.25">
      <c r="K714" s="1">
        <v>702</v>
      </c>
      <c r="L714" s="9">
        <v>1734801.1450813883</v>
      </c>
    </row>
    <row r="715" spans="11:12" x14ac:dyDescent="0.25">
      <c r="K715" s="1">
        <v>703</v>
      </c>
      <c r="L715" s="9">
        <v>982349.24790173303</v>
      </c>
    </row>
    <row r="716" spans="11:12" x14ac:dyDescent="0.25">
      <c r="K716" s="1">
        <v>704</v>
      </c>
      <c r="L716" s="9">
        <v>747916.76688974036</v>
      </c>
    </row>
    <row r="717" spans="11:12" x14ac:dyDescent="0.25">
      <c r="K717" s="1">
        <v>705</v>
      </c>
      <c r="L717" s="9">
        <v>642459.88471292122</v>
      </c>
    </row>
    <row r="718" spans="11:12" x14ac:dyDescent="0.25">
      <c r="K718" s="1">
        <v>706</v>
      </c>
      <c r="L718" s="9">
        <v>490349.35957185971</v>
      </c>
    </row>
    <row r="719" spans="11:12" x14ac:dyDescent="0.25">
      <c r="K719" s="1">
        <v>707</v>
      </c>
      <c r="L719" s="9">
        <v>1753621.6274754703</v>
      </c>
    </row>
    <row r="720" spans="11:12" x14ac:dyDescent="0.25">
      <c r="K720" s="1">
        <v>708</v>
      </c>
      <c r="L720" s="9">
        <v>340470.07023626368</v>
      </c>
    </row>
    <row r="721" spans="11:12" x14ac:dyDescent="0.25">
      <c r="K721" s="1">
        <v>709</v>
      </c>
      <c r="L721" s="9">
        <v>529432.71247592312</v>
      </c>
    </row>
    <row r="722" spans="11:12" x14ac:dyDescent="0.25">
      <c r="K722" s="1">
        <v>710</v>
      </c>
      <c r="L722" s="9">
        <v>4880927.0690990081</v>
      </c>
    </row>
    <row r="723" spans="11:12" x14ac:dyDescent="0.25">
      <c r="K723" s="1">
        <v>711</v>
      </c>
      <c r="L723" s="9">
        <v>888069.10035712598</v>
      </c>
    </row>
    <row r="724" spans="11:12" x14ac:dyDescent="0.25">
      <c r="K724" s="1">
        <v>712</v>
      </c>
      <c r="L724" s="9">
        <v>1000934.9972218706</v>
      </c>
    </row>
    <row r="725" spans="11:12" x14ac:dyDescent="0.25">
      <c r="K725" s="1">
        <v>713</v>
      </c>
      <c r="L725" s="9">
        <v>395646.06794001581</v>
      </c>
    </row>
    <row r="726" spans="11:12" x14ac:dyDescent="0.25">
      <c r="K726" s="1">
        <v>714</v>
      </c>
      <c r="L726" s="9">
        <v>2802205.1998760048</v>
      </c>
    </row>
    <row r="727" spans="11:12" x14ac:dyDescent="0.25">
      <c r="K727" s="1">
        <v>715</v>
      </c>
      <c r="L727" s="9">
        <v>1993441.4718316281</v>
      </c>
    </row>
    <row r="728" spans="11:12" x14ac:dyDescent="0.25">
      <c r="K728" s="1">
        <v>716</v>
      </c>
      <c r="L728" s="9">
        <v>930775.91919413256</v>
      </c>
    </row>
    <row r="729" spans="11:12" x14ac:dyDescent="0.25">
      <c r="K729" s="1">
        <v>717</v>
      </c>
      <c r="L729" s="9">
        <v>925485.72374826693</v>
      </c>
    </row>
    <row r="730" spans="11:12" x14ac:dyDescent="0.25">
      <c r="K730" s="1">
        <v>718</v>
      </c>
      <c r="L730" s="9">
        <v>1568723.118481606</v>
      </c>
    </row>
    <row r="731" spans="11:12" x14ac:dyDescent="0.25">
      <c r="K731" s="1">
        <v>719</v>
      </c>
      <c r="L731" s="9">
        <v>1311129.3992667815</v>
      </c>
    </row>
    <row r="732" spans="11:12" x14ac:dyDescent="0.25">
      <c r="K732" s="1">
        <v>720</v>
      </c>
      <c r="L732" s="9">
        <v>215633.84014249756</v>
      </c>
    </row>
    <row r="733" spans="11:12" x14ac:dyDescent="0.25">
      <c r="K733" s="1">
        <v>721</v>
      </c>
      <c r="L733" s="9">
        <v>1296084.4966315804</v>
      </c>
    </row>
    <row r="734" spans="11:12" x14ac:dyDescent="0.25">
      <c r="K734" s="1">
        <v>722</v>
      </c>
      <c r="L734" s="9">
        <v>333691.71244197013</v>
      </c>
    </row>
    <row r="735" spans="11:12" x14ac:dyDescent="0.25">
      <c r="K735" s="1">
        <v>723</v>
      </c>
      <c r="L735" s="9">
        <v>1676442.1717547243</v>
      </c>
    </row>
    <row r="736" spans="11:12" x14ac:dyDescent="0.25">
      <c r="K736" s="1">
        <v>724</v>
      </c>
      <c r="L736" s="9">
        <v>656411.2149084867</v>
      </c>
    </row>
    <row r="737" spans="11:12" x14ac:dyDescent="0.25">
      <c r="K737" s="1">
        <v>725</v>
      </c>
      <c r="L737" s="9">
        <v>4038533.4262635466</v>
      </c>
    </row>
    <row r="738" spans="11:12" x14ac:dyDescent="0.25">
      <c r="K738" s="1">
        <v>726</v>
      </c>
      <c r="L738" s="9">
        <v>1080391.9208301129</v>
      </c>
    </row>
    <row r="739" spans="11:12" x14ac:dyDescent="0.25">
      <c r="K739" s="1">
        <v>727</v>
      </c>
      <c r="L739" s="9">
        <v>806627.89318246022</v>
      </c>
    </row>
    <row r="740" spans="11:12" x14ac:dyDescent="0.25">
      <c r="K740" s="1">
        <v>728</v>
      </c>
      <c r="L740" s="9">
        <v>2193960.8498848602</v>
      </c>
    </row>
    <row r="741" spans="11:12" x14ac:dyDescent="0.25">
      <c r="K741" s="1">
        <v>729</v>
      </c>
      <c r="L741" s="9">
        <v>2198179.6534188753</v>
      </c>
    </row>
    <row r="742" spans="11:12" x14ac:dyDescent="0.25">
      <c r="K742" s="1">
        <v>730</v>
      </c>
      <c r="L742" s="9">
        <v>1057989.569616823</v>
      </c>
    </row>
    <row r="743" spans="11:12" x14ac:dyDescent="0.25">
      <c r="K743" s="1">
        <v>731</v>
      </c>
      <c r="L743" s="9">
        <v>663536.51556774706</v>
      </c>
    </row>
    <row r="744" spans="11:12" x14ac:dyDescent="0.25">
      <c r="K744" s="1">
        <v>732</v>
      </c>
      <c r="L744" s="9">
        <v>1353098.3218337344</v>
      </c>
    </row>
    <row r="745" spans="11:12" x14ac:dyDescent="0.25">
      <c r="K745" s="1">
        <v>733</v>
      </c>
      <c r="L745" s="9">
        <v>-432608.07743305975</v>
      </c>
    </row>
    <row r="746" spans="11:12" x14ac:dyDescent="0.25">
      <c r="K746" s="1">
        <v>734</v>
      </c>
      <c r="L746" s="9">
        <v>998069.1065930312</v>
      </c>
    </row>
    <row r="747" spans="11:12" x14ac:dyDescent="0.25">
      <c r="K747" s="1">
        <v>735</v>
      </c>
      <c r="L747" s="9">
        <v>1570605.655380731</v>
      </c>
    </row>
    <row r="748" spans="11:12" x14ac:dyDescent="0.25">
      <c r="K748" s="1">
        <v>736</v>
      </c>
      <c r="L748" s="9">
        <v>1205426.710953651</v>
      </c>
    </row>
    <row r="749" spans="11:12" x14ac:dyDescent="0.25">
      <c r="K749" s="1">
        <v>737</v>
      </c>
      <c r="L749" s="9">
        <v>2009770.2403670168</v>
      </c>
    </row>
    <row r="750" spans="11:12" x14ac:dyDescent="0.25">
      <c r="K750" s="1">
        <v>738</v>
      </c>
      <c r="L750" s="9">
        <v>1103135.9489775193</v>
      </c>
    </row>
    <row r="751" spans="11:12" x14ac:dyDescent="0.25">
      <c r="K751" s="1">
        <v>739</v>
      </c>
      <c r="L751" s="9">
        <v>1992977.495526759</v>
      </c>
    </row>
    <row r="752" spans="11:12" x14ac:dyDescent="0.25">
      <c r="K752" s="1">
        <v>740</v>
      </c>
      <c r="L752" s="9">
        <v>88071.478487404005</v>
      </c>
    </row>
    <row r="753" spans="11:12" x14ac:dyDescent="0.25">
      <c r="K753" s="1">
        <v>741</v>
      </c>
      <c r="L753" s="9">
        <v>2640931.8789200969</v>
      </c>
    </row>
    <row r="754" spans="11:12" x14ac:dyDescent="0.25">
      <c r="K754" s="1">
        <v>742</v>
      </c>
      <c r="L754" s="9">
        <v>1219837.7192068561</v>
      </c>
    </row>
    <row r="755" spans="11:12" x14ac:dyDescent="0.25">
      <c r="K755" s="1">
        <v>743</v>
      </c>
      <c r="L755" s="9">
        <v>1165134.2526963879</v>
      </c>
    </row>
    <row r="756" spans="11:12" x14ac:dyDescent="0.25">
      <c r="K756" s="1">
        <v>744</v>
      </c>
      <c r="L756" s="9">
        <v>516259.80918902694</v>
      </c>
    </row>
    <row r="757" spans="11:12" x14ac:dyDescent="0.25">
      <c r="K757" s="1">
        <v>745</v>
      </c>
      <c r="L757" s="9">
        <v>896657.62666050438</v>
      </c>
    </row>
    <row r="758" spans="11:12" x14ac:dyDescent="0.25">
      <c r="K758" s="1">
        <v>746</v>
      </c>
      <c r="L758" s="9">
        <v>275186.38804340072</v>
      </c>
    </row>
    <row r="759" spans="11:12" x14ac:dyDescent="0.25">
      <c r="K759" s="1">
        <v>747</v>
      </c>
      <c r="L759" s="9">
        <v>2913958.0948522007</v>
      </c>
    </row>
    <row r="760" spans="11:12" x14ac:dyDescent="0.25">
      <c r="K760" s="1">
        <v>748</v>
      </c>
      <c r="L760" s="9">
        <v>1048502.7759446125</v>
      </c>
    </row>
    <row r="761" spans="11:12" x14ac:dyDescent="0.25">
      <c r="K761" s="1">
        <v>749</v>
      </c>
      <c r="L761" s="9">
        <v>1305223.8478955291</v>
      </c>
    </row>
    <row r="762" spans="11:12" x14ac:dyDescent="0.25">
      <c r="K762" s="1">
        <v>750</v>
      </c>
      <c r="L762" s="9">
        <v>1980233.1798793674</v>
      </c>
    </row>
    <row r="763" spans="11:12" x14ac:dyDescent="0.25">
      <c r="K763" s="1">
        <v>751</v>
      </c>
      <c r="L763" s="9">
        <v>251342.15180250385</v>
      </c>
    </row>
    <row r="764" spans="11:12" x14ac:dyDescent="0.25">
      <c r="K764" s="1">
        <v>752</v>
      </c>
      <c r="L764" s="9">
        <v>725289.76095011481</v>
      </c>
    </row>
    <row r="765" spans="11:12" x14ac:dyDescent="0.25">
      <c r="K765" s="1">
        <v>753</v>
      </c>
      <c r="L765" s="9">
        <v>1512597.8955813083</v>
      </c>
    </row>
    <row r="766" spans="11:12" x14ac:dyDescent="0.25">
      <c r="K766" s="1">
        <v>754</v>
      </c>
      <c r="L766" s="9">
        <v>2350549.1282745348</v>
      </c>
    </row>
    <row r="767" spans="11:12" x14ac:dyDescent="0.25">
      <c r="K767" s="1">
        <v>755</v>
      </c>
      <c r="L767" s="9">
        <v>1624680.0237893821</v>
      </c>
    </row>
    <row r="768" spans="11:12" x14ac:dyDescent="0.25">
      <c r="K768" s="1">
        <v>756</v>
      </c>
      <c r="L768" s="9">
        <v>414131.68463237421</v>
      </c>
    </row>
    <row r="769" spans="11:12" x14ac:dyDescent="0.25">
      <c r="K769" s="1">
        <v>757</v>
      </c>
      <c r="L769" s="9">
        <v>898819.44633154664</v>
      </c>
    </row>
    <row r="770" spans="11:12" x14ac:dyDescent="0.25">
      <c r="K770" s="1">
        <v>758</v>
      </c>
      <c r="L770" s="9">
        <v>3157223.7238543979</v>
      </c>
    </row>
    <row r="771" spans="11:12" x14ac:dyDescent="0.25">
      <c r="K771" s="1">
        <v>759</v>
      </c>
      <c r="L771" s="9">
        <v>1046264.3005741609</v>
      </c>
    </row>
    <row r="772" spans="11:12" x14ac:dyDescent="0.25">
      <c r="K772" s="1">
        <v>760</v>
      </c>
      <c r="L772" s="9">
        <v>1211535.6974176243</v>
      </c>
    </row>
    <row r="773" spans="11:12" x14ac:dyDescent="0.25">
      <c r="K773" s="1">
        <v>761</v>
      </c>
      <c r="L773" s="9">
        <v>1520231.4619815042</v>
      </c>
    </row>
    <row r="774" spans="11:12" x14ac:dyDescent="0.25">
      <c r="K774" s="1">
        <v>762</v>
      </c>
      <c r="L774" s="9">
        <v>580080.48711139208</v>
      </c>
    </row>
    <row r="775" spans="11:12" x14ac:dyDescent="0.25">
      <c r="K775" s="1">
        <v>763</v>
      </c>
      <c r="L775" s="9">
        <v>208013.43022696953</v>
      </c>
    </row>
    <row r="776" spans="11:12" x14ac:dyDescent="0.25">
      <c r="K776" s="1">
        <v>764</v>
      </c>
      <c r="L776" s="9">
        <v>1216314.9282389088</v>
      </c>
    </row>
    <row r="777" spans="11:12" x14ac:dyDescent="0.25">
      <c r="K777" s="1">
        <v>765</v>
      </c>
      <c r="L777" s="9">
        <v>902068.35976898484</v>
      </c>
    </row>
    <row r="778" spans="11:12" x14ac:dyDescent="0.25">
      <c r="K778" s="1">
        <v>766</v>
      </c>
      <c r="L778" s="9">
        <v>1158858.8885929184</v>
      </c>
    </row>
    <row r="779" spans="11:12" x14ac:dyDescent="0.25">
      <c r="K779" s="1">
        <v>767</v>
      </c>
      <c r="L779" s="9">
        <v>1638664.0180742303</v>
      </c>
    </row>
    <row r="780" spans="11:12" x14ac:dyDescent="0.25">
      <c r="K780" s="1">
        <v>768</v>
      </c>
      <c r="L780" s="9">
        <v>5682170.3156618997</v>
      </c>
    </row>
    <row r="781" spans="11:12" x14ac:dyDescent="0.25">
      <c r="K781" s="1">
        <v>769</v>
      </c>
      <c r="L781" s="9">
        <v>3936529.8238851908</v>
      </c>
    </row>
    <row r="782" spans="11:12" x14ac:dyDescent="0.25">
      <c r="K782" s="1">
        <v>770</v>
      </c>
      <c r="L782" s="9">
        <v>1351860.8503396963</v>
      </c>
    </row>
    <row r="783" spans="11:12" x14ac:dyDescent="0.25">
      <c r="K783" s="1">
        <v>771</v>
      </c>
      <c r="L783" s="9">
        <v>2702772.9466156396</v>
      </c>
    </row>
    <row r="784" spans="11:12" x14ac:dyDescent="0.25">
      <c r="K784" s="1">
        <v>772</v>
      </c>
      <c r="L784" s="9">
        <v>837400.78971253638</v>
      </c>
    </row>
    <row r="785" spans="11:12" x14ac:dyDescent="0.25">
      <c r="K785" s="1">
        <v>773</v>
      </c>
      <c r="L785" s="9">
        <v>694075.62053328357</v>
      </c>
    </row>
    <row r="786" spans="11:12" x14ac:dyDescent="0.25">
      <c r="K786" s="1">
        <v>774</v>
      </c>
      <c r="L786" s="9">
        <v>-117402.04042784868</v>
      </c>
    </row>
    <row r="787" spans="11:12" x14ac:dyDescent="0.25">
      <c r="K787" s="1">
        <v>775</v>
      </c>
      <c r="L787" s="9">
        <v>575473.84516500053</v>
      </c>
    </row>
    <row r="788" spans="11:12" x14ac:dyDescent="0.25">
      <c r="K788" s="1">
        <v>776</v>
      </c>
      <c r="L788" s="9">
        <v>318334.39160018996</v>
      </c>
    </row>
    <row r="789" spans="11:12" x14ac:dyDescent="0.25">
      <c r="K789" s="1">
        <v>777</v>
      </c>
      <c r="L789" s="9">
        <v>2014753.9920682316</v>
      </c>
    </row>
    <row r="790" spans="11:12" x14ac:dyDescent="0.25">
      <c r="K790" s="1">
        <v>778</v>
      </c>
      <c r="L790" s="9">
        <v>347412.80986334092</v>
      </c>
    </row>
    <row r="791" spans="11:12" x14ac:dyDescent="0.25">
      <c r="K791" s="1">
        <v>779</v>
      </c>
      <c r="L791" s="9">
        <v>3083613.3672011513</v>
      </c>
    </row>
    <row r="792" spans="11:12" x14ac:dyDescent="0.25">
      <c r="K792" s="1">
        <v>780</v>
      </c>
      <c r="L792" s="9">
        <v>110332.03681822482</v>
      </c>
    </row>
    <row r="793" spans="11:12" x14ac:dyDescent="0.25">
      <c r="K793" s="1">
        <v>781</v>
      </c>
      <c r="L793" s="9">
        <v>2154831.4042891217</v>
      </c>
    </row>
    <row r="794" spans="11:12" x14ac:dyDescent="0.25">
      <c r="K794" s="1">
        <v>782</v>
      </c>
      <c r="L794" s="9">
        <v>2848226.5205838298</v>
      </c>
    </row>
    <row r="795" spans="11:12" x14ac:dyDescent="0.25">
      <c r="K795" s="1">
        <v>783</v>
      </c>
      <c r="L795" s="9">
        <v>-172307.42536417104</v>
      </c>
    </row>
    <row r="796" spans="11:12" x14ac:dyDescent="0.25">
      <c r="K796" s="1">
        <v>784</v>
      </c>
      <c r="L796" s="9">
        <v>1275586.9588676719</v>
      </c>
    </row>
    <row r="797" spans="11:12" x14ac:dyDescent="0.25">
      <c r="K797" s="1">
        <v>785</v>
      </c>
      <c r="L797" s="9">
        <v>753532.69782776781</v>
      </c>
    </row>
    <row r="798" spans="11:12" x14ac:dyDescent="0.25">
      <c r="K798" s="1">
        <v>786</v>
      </c>
      <c r="L798" s="9">
        <v>470020.17201457103</v>
      </c>
    </row>
    <row r="799" spans="11:12" x14ac:dyDescent="0.25">
      <c r="K799" s="1">
        <v>787</v>
      </c>
      <c r="L799" s="9">
        <v>1280115.2350854143</v>
      </c>
    </row>
    <row r="800" spans="11:12" x14ac:dyDescent="0.25">
      <c r="K800" s="1">
        <v>788</v>
      </c>
      <c r="L800" s="9">
        <v>3892371.6701832088</v>
      </c>
    </row>
    <row r="801" spans="11:12" x14ac:dyDescent="0.25">
      <c r="K801" s="1">
        <v>789</v>
      </c>
      <c r="L801" s="9">
        <v>-505880.35210176365</v>
      </c>
    </row>
    <row r="802" spans="11:12" x14ac:dyDescent="0.25">
      <c r="K802" s="1">
        <v>790</v>
      </c>
      <c r="L802" s="9">
        <v>1305000.2598341913</v>
      </c>
    </row>
    <row r="803" spans="11:12" x14ac:dyDescent="0.25">
      <c r="K803" s="1">
        <v>791</v>
      </c>
      <c r="L803" s="9">
        <v>2261212.0609463677</v>
      </c>
    </row>
    <row r="804" spans="11:12" x14ac:dyDescent="0.25">
      <c r="K804" s="1">
        <v>792</v>
      </c>
      <c r="L804" s="9">
        <v>5513586.8714643158</v>
      </c>
    </row>
    <row r="805" spans="11:12" x14ac:dyDescent="0.25">
      <c r="K805" s="1">
        <v>793</v>
      </c>
      <c r="L805" s="9">
        <v>946251.95612727106</v>
      </c>
    </row>
    <row r="806" spans="11:12" x14ac:dyDescent="0.25">
      <c r="K806" s="1">
        <v>794</v>
      </c>
      <c r="L806" s="9">
        <v>1348050.0019159475</v>
      </c>
    </row>
    <row r="807" spans="11:12" x14ac:dyDescent="0.25">
      <c r="K807" s="1">
        <v>795</v>
      </c>
      <c r="L807" s="9">
        <v>2265245.8710920424</v>
      </c>
    </row>
    <row r="808" spans="11:12" x14ac:dyDescent="0.25">
      <c r="K808" s="1">
        <v>796</v>
      </c>
      <c r="L808" s="9">
        <v>973482.53745121323</v>
      </c>
    </row>
    <row r="809" spans="11:12" x14ac:dyDescent="0.25">
      <c r="K809" s="1">
        <v>797</v>
      </c>
      <c r="L809" s="9">
        <v>2148356.9603347965</v>
      </c>
    </row>
    <row r="810" spans="11:12" x14ac:dyDescent="0.25">
      <c r="K810" s="1">
        <v>798</v>
      </c>
      <c r="L810" s="9">
        <v>262462.19478585117</v>
      </c>
    </row>
    <row r="811" spans="11:12" x14ac:dyDescent="0.25">
      <c r="K811" s="1">
        <v>799</v>
      </c>
      <c r="L811" s="9">
        <v>1139860.2942597996</v>
      </c>
    </row>
    <row r="812" spans="11:12" x14ac:dyDescent="0.25">
      <c r="K812" s="1">
        <v>800</v>
      </c>
      <c r="L812" s="9">
        <v>1096378.5099012305</v>
      </c>
    </row>
    <row r="813" spans="11:12" x14ac:dyDescent="0.25">
      <c r="K813" s="1">
        <v>801</v>
      </c>
      <c r="L813" s="9">
        <v>298042.12554148055</v>
      </c>
    </row>
    <row r="814" spans="11:12" x14ac:dyDescent="0.25">
      <c r="K814" s="1">
        <v>802</v>
      </c>
      <c r="L814" s="9">
        <v>810449.10679510899</v>
      </c>
    </row>
    <row r="815" spans="11:12" x14ac:dyDescent="0.25">
      <c r="K815" s="1">
        <v>803</v>
      </c>
      <c r="L815" s="9">
        <v>148570.61484214081</v>
      </c>
    </row>
    <row r="816" spans="11:12" x14ac:dyDescent="0.25">
      <c r="K816" s="1">
        <v>804</v>
      </c>
      <c r="L816" s="9">
        <v>1319594.7590506505</v>
      </c>
    </row>
    <row r="817" spans="11:12" x14ac:dyDescent="0.25">
      <c r="K817" s="1">
        <v>805</v>
      </c>
      <c r="L817" s="9">
        <v>1256495.2568969049</v>
      </c>
    </row>
    <row r="818" spans="11:12" x14ac:dyDescent="0.25">
      <c r="K818" s="1">
        <v>806</v>
      </c>
      <c r="L818" s="9">
        <v>2159010.5012066066</v>
      </c>
    </row>
    <row r="819" spans="11:12" x14ac:dyDescent="0.25">
      <c r="K819" s="1">
        <v>807</v>
      </c>
      <c r="L819" s="9">
        <v>322451.05505694821</v>
      </c>
    </row>
    <row r="820" spans="11:12" x14ac:dyDescent="0.25">
      <c r="K820" s="1">
        <v>808</v>
      </c>
      <c r="L820" s="9">
        <v>1270028.8455935931</v>
      </c>
    </row>
    <row r="821" spans="11:12" x14ac:dyDescent="0.25">
      <c r="K821" s="1">
        <v>809</v>
      </c>
      <c r="L821" s="9">
        <v>2766453.9058843702</v>
      </c>
    </row>
    <row r="822" spans="11:12" x14ac:dyDescent="0.25">
      <c r="K822" s="1">
        <v>810</v>
      </c>
      <c r="L822" s="9">
        <v>836207.29331538337</v>
      </c>
    </row>
    <row r="823" spans="11:12" x14ac:dyDescent="0.25">
      <c r="K823" s="1">
        <v>811</v>
      </c>
      <c r="L823" s="9">
        <v>1535653.4478535901</v>
      </c>
    </row>
    <row r="824" spans="11:12" x14ac:dyDescent="0.25">
      <c r="K824" s="1">
        <v>812</v>
      </c>
      <c r="L824" s="9">
        <v>914961.06785046053</v>
      </c>
    </row>
    <row r="825" spans="11:12" x14ac:dyDescent="0.25">
      <c r="K825" s="1">
        <v>813</v>
      </c>
      <c r="L825" s="9">
        <v>2956692.6563835503</v>
      </c>
    </row>
    <row r="826" spans="11:12" x14ac:dyDescent="0.25">
      <c r="K826" s="1">
        <v>814</v>
      </c>
      <c r="L826" s="9">
        <v>2766228.8702214817</v>
      </c>
    </row>
    <row r="827" spans="11:12" x14ac:dyDescent="0.25">
      <c r="K827" s="1">
        <v>815</v>
      </c>
      <c r="L827" s="9">
        <v>-77343.252998738433</v>
      </c>
    </row>
    <row r="828" spans="11:12" x14ac:dyDescent="0.25">
      <c r="K828" s="1">
        <v>816</v>
      </c>
      <c r="L828" s="9">
        <v>1137616.5071533015</v>
      </c>
    </row>
    <row r="829" spans="11:12" x14ac:dyDescent="0.25">
      <c r="K829" s="1">
        <v>817</v>
      </c>
      <c r="L829" s="9">
        <v>1884700.5721830751</v>
      </c>
    </row>
    <row r="830" spans="11:12" x14ac:dyDescent="0.25">
      <c r="K830" s="1">
        <v>818</v>
      </c>
      <c r="L830" s="9">
        <v>944629.41126401885</v>
      </c>
    </row>
    <row r="831" spans="11:12" x14ac:dyDescent="0.25">
      <c r="K831" s="1">
        <v>819</v>
      </c>
      <c r="L831" s="9">
        <v>1729572.8393648686</v>
      </c>
    </row>
    <row r="832" spans="11:12" x14ac:dyDescent="0.25">
      <c r="K832" s="1">
        <v>820</v>
      </c>
      <c r="L832" s="9">
        <v>1030981.4739574892</v>
      </c>
    </row>
    <row r="833" spans="11:12" x14ac:dyDescent="0.25">
      <c r="K833" s="1">
        <v>821</v>
      </c>
      <c r="L833" s="9">
        <v>3537903.5152137643</v>
      </c>
    </row>
    <row r="834" spans="11:12" x14ac:dyDescent="0.25">
      <c r="K834" s="1">
        <v>822</v>
      </c>
      <c r="L834" s="9">
        <v>87116.816239226842</v>
      </c>
    </row>
    <row r="835" spans="11:12" x14ac:dyDescent="0.25">
      <c r="K835" s="1">
        <v>823</v>
      </c>
      <c r="L835" s="9">
        <v>547857.50245301856</v>
      </c>
    </row>
    <row r="836" spans="11:12" x14ac:dyDescent="0.25">
      <c r="K836" s="1">
        <v>824</v>
      </c>
      <c r="L836" s="9">
        <v>481409.04686491168</v>
      </c>
    </row>
    <row r="837" spans="11:12" x14ac:dyDescent="0.25">
      <c r="K837" s="1">
        <v>825</v>
      </c>
      <c r="L837" s="9">
        <v>2423376.9252258688</v>
      </c>
    </row>
    <row r="838" spans="11:12" x14ac:dyDescent="0.25">
      <c r="K838" s="1">
        <v>826</v>
      </c>
      <c r="L838" s="9">
        <v>1407385.8194413367</v>
      </c>
    </row>
    <row r="839" spans="11:12" x14ac:dyDescent="0.25">
      <c r="K839" s="1">
        <v>827</v>
      </c>
      <c r="L839" s="9">
        <v>1649422.0881006848</v>
      </c>
    </row>
    <row r="840" spans="11:12" x14ac:dyDescent="0.25">
      <c r="K840" s="1">
        <v>828</v>
      </c>
      <c r="L840" s="9">
        <v>2082133.1275546309</v>
      </c>
    </row>
    <row r="841" spans="11:12" x14ac:dyDescent="0.25">
      <c r="K841" s="1">
        <v>829</v>
      </c>
      <c r="L841" s="9">
        <v>14597.433887880412</v>
      </c>
    </row>
    <row r="842" spans="11:12" x14ac:dyDescent="0.25">
      <c r="K842" s="1">
        <v>830</v>
      </c>
      <c r="L842" s="9">
        <v>1682635.4001594186</v>
      </c>
    </row>
    <row r="843" spans="11:12" x14ac:dyDescent="0.25">
      <c r="K843" s="1">
        <v>831</v>
      </c>
      <c r="L843" s="9">
        <v>1806738.2047208305</v>
      </c>
    </row>
    <row r="844" spans="11:12" x14ac:dyDescent="0.25">
      <c r="K844" s="1">
        <v>832</v>
      </c>
      <c r="L844" s="9">
        <v>-409972.93700974865</v>
      </c>
    </row>
    <row r="845" spans="11:12" x14ac:dyDescent="0.25">
      <c r="K845" s="1">
        <v>833</v>
      </c>
      <c r="L845" s="9">
        <v>1342209.1150087321</v>
      </c>
    </row>
    <row r="846" spans="11:12" x14ac:dyDescent="0.25">
      <c r="K846" s="1">
        <v>834</v>
      </c>
      <c r="L846" s="9">
        <v>296598.24161197327</v>
      </c>
    </row>
    <row r="847" spans="11:12" x14ac:dyDescent="0.25">
      <c r="K847" s="1">
        <v>835</v>
      </c>
      <c r="L847" s="9">
        <v>973208.16935509001</v>
      </c>
    </row>
    <row r="848" spans="11:12" x14ac:dyDescent="0.25">
      <c r="K848" s="1">
        <v>836</v>
      </c>
      <c r="L848" s="9">
        <v>9057.4210693580098</v>
      </c>
    </row>
    <row r="849" spans="11:12" x14ac:dyDescent="0.25">
      <c r="K849" s="1">
        <v>837</v>
      </c>
      <c r="L849" s="9">
        <v>1701762.3101478005</v>
      </c>
    </row>
    <row r="850" spans="11:12" x14ac:dyDescent="0.25">
      <c r="K850" s="1">
        <v>838</v>
      </c>
      <c r="L850" s="9">
        <v>2146909.9891179916</v>
      </c>
    </row>
    <row r="851" spans="11:12" x14ac:dyDescent="0.25">
      <c r="K851" s="1">
        <v>839</v>
      </c>
      <c r="L851" s="9">
        <v>1529.1887783230632</v>
      </c>
    </row>
    <row r="852" spans="11:12" x14ac:dyDescent="0.25">
      <c r="K852" s="1">
        <v>840</v>
      </c>
      <c r="L852" s="9">
        <v>280390.05535796512</v>
      </c>
    </row>
    <row r="853" spans="11:12" x14ac:dyDescent="0.25">
      <c r="K853" s="1">
        <v>841</v>
      </c>
      <c r="L853" s="9">
        <v>2155979.6693969751</v>
      </c>
    </row>
    <row r="854" spans="11:12" x14ac:dyDescent="0.25">
      <c r="K854" s="1">
        <v>842</v>
      </c>
      <c r="L854" s="9">
        <v>1346185.6561181026</v>
      </c>
    </row>
    <row r="855" spans="11:12" x14ac:dyDescent="0.25">
      <c r="K855" s="1">
        <v>843</v>
      </c>
      <c r="L855" s="9">
        <v>343009.6927147049</v>
      </c>
    </row>
    <row r="856" spans="11:12" x14ac:dyDescent="0.25">
      <c r="K856" s="1">
        <v>844</v>
      </c>
      <c r="L856" s="9">
        <v>1925593.4211748126</v>
      </c>
    </row>
    <row r="857" spans="11:12" x14ac:dyDescent="0.25">
      <c r="K857" s="1">
        <v>845</v>
      </c>
      <c r="L857" s="9">
        <v>-391643.01254199026</v>
      </c>
    </row>
    <row r="858" spans="11:12" x14ac:dyDescent="0.25">
      <c r="K858" s="1">
        <v>846</v>
      </c>
      <c r="L858" s="9">
        <v>1627707.2600157615</v>
      </c>
    </row>
    <row r="859" spans="11:12" x14ac:dyDescent="0.25">
      <c r="K859" s="1">
        <v>847</v>
      </c>
      <c r="L859" s="9">
        <v>414651.06130027969</v>
      </c>
    </row>
    <row r="860" spans="11:12" x14ac:dyDescent="0.25">
      <c r="K860" s="1">
        <v>848</v>
      </c>
      <c r="L860" s="9">
        <v>1217580.541837621</v>
      </c>
    </row>
    <row r="861" spans="11:12" x14ac:dyDescent="0.25">
      <c r="K861" s="1">
        <v>849</v>
      </c>
      <c r="L861" s="9">
        <v>3189099.2277699886</v>
      </c>
    </row>
    <row r="862" spans="11:12" x14ac:dyDescent="0.25">
      <c r="K862" s="1">
        <v>850</v>
      </c>
      <c r="L862" s="9">
        <v>2962055.0702209556</v>
      </c>
    </row>
    <row r="863" spans="11:12" x14ac:dyDescent="0.25">
      <c r="K863" s="1">
        <v>851</v>
      </c>
      <c r="L863" s="9">
        <v>1440229.0083032968</v>
      </c>
    </row>
    <row r="864" spans="11:12" x14ac:dyDescent="0.25">
      <c r="K864" s="1">
        <v>852</v>
      </c>
      <c r="L864" s="9">
        <v>591671.10513154557</v>
      </c>
    </row>
    <row r="865" spans="11:12" x14ac:dyDescent="0.25">
      <c r="K865" s="1">
        <v>853</v>
      </c>
      <c r="L865" s="9">
        <v>2718762.2935426375</v>
      </c>
    </row>
    <row r="866" spans="11:12" x14ac:dyDescent="0.25">
      <c r="K866" s="1">
        <v>854</v>
      </c>
      <c r="L866" s="9">
        <v>1532660.6264771079</v>
      </c>
    </row>
    <row r="867" spans="11:12" x14ac:dyDescent="0.25">
      <c r="K867" s="1">
        <v>855</v>
      </c>
      <c r="L867" s="9">
        <v>538930.10799621453</v>
      </c>
    </row>
    <row r="868" spans="11:12" x14ac:dyDescent="0.25">
      <c r="K868" s="1">
        <v>856</v>
      </c>
      <c r="L868" s="9">
        <v>1620728.211132701</v>
      </c>
    </row>
    <row r="869" spans="11:12" x14ac:dyDescent="0.25">
      <c r="K869" s="1">
        <v>857</v>
      </c>
      <c r="L869" s="9">
        <v>3213435.4405223811</v>
      </c>
    </row>
    <row r="870" spans="11:12" x14ac:dyDescent="0.25">
      <c r="K870" s="1">
        <v>858</v>
      </c>
      <c r="L870" s="9">
        <v>1580631.4447152894</v>
      </c>
    </row>
    <row r="871" spans="11:12" x14ac:dyDescent="0.25">
      <c r="K871" s="1">
        <v>859</v>
      </c>
      <c r="L871" s="9">
        <v>2401486.4465717152</v>
      </c>
    </row>
    <row r="872" spans="11:12" x14ac:dyDescent="0.25">
      <c r="K872" s="1">
        <v>860</v>
      </c>
      <c r="L872" s="9">
        <v>-541589.51836843998</v>
      </c>
    </row>
    <row r="873" spans="11:12" x14ac:dyDescent="0.25">
      <c r="K873" s="1">
        <v>861</v>
      </c>
      <c r="L873" s="9">
        <v>1376329.0937097757</v>
      </c>
    </row>
    <row r="874" spans="11:12" x14ac:dyDescent="0.25">
      <c r="K874" s="1">
        <v>862</v>
      </c>
      <c r="L874" s="9">
        <v>373066.25331670663</v>
      </c>
    </row>
    <row r="875" spans="11:12" x14ac:dyDescent="0.25">
      <c r="K875" s="1">
        <v>863</v>
      </c>
      <c r="L875" s="9">
        <v>781037.91733534611</v>
      </c>
    </row>
    <row r="876" spans="11:12" x14ac:dyDescent="0.25">
      <c r="K876" s="1">
        <v>864</v>
      </c>
      <c r="L876" s="9">
        <v>969993.61532488791</v>
      </c>
    </row>
    <row r="877" spans="11:12" x14ac:dyDescent="0.25">
      <c r="K877" s="1">
        <v>865</v>
      </c>
      <c r="L877" s="9">
        <v>1543475.5931544006</v>
      </c>
    </row>
    <row r="878" spans="11:12" x14ac:dyDescent="0.25">
      <c r="K878" s="1">
        <v>866</v>
      </c>
      <c r="L878" s="9">
        <v>2180010.3961178917</v>
      </c>
    </row>
    <row r="879" spans="11:12" x14ac:dyDescent="0.25">
      <c r="K879" s="1">
        <v>867</v>
      </c>
      <c r="L879" s="9">
        <v>1334748.3378734319</v>
      </c>
    </row>
    <row r="880" spans="11:12" x14ac:dyDescent="0.25">
      <c r="K880" s="1">
        <v>868</v>
      </c>
      <c r="L880" s="9">
        <v>1499305.634140233</v>
      </c>
    </row>
    <row r="881" spans="11:12" x14ac:dyDescent="0.25">
      <c r="K881" s="1">
        <v>869</v>
      </c>
      <c r="L881" s="9">
        <v>1098456.9830917404</v>
      </c>
    </row>
    <row r="882" spans="11:12" x14ac:dyDescent="0.25">
      <c r="K882" s="1">
        <v>870</v>
      </c>
      <c r="L882" s="9">
        <v>1110840.9539097748</v>
      </c>
    </row>
    <row r="883" spans="11:12" x14ac:dyDescent="0.25">
      <c r="K883" s="1">
        <v>871</v>
      </c>
      <c r="L883" s="9">
        <v>1627162.50469313</v>
      </c>
    </row>
    <row r="884" spans="11:12" x14ac:dyDescent="0.25">
      <c r="K884" s="1">
        <v>872</v>
      </c>
      <c r="L884" s="9">
        <v>1969624.2812949275</v>
      </c>
    </row>
    <row r="885" spans="11:12" x14ac:dyDescent="0.25">
      <c r="K885" s="1">
        <v>873</v>
      </c>
      <c r="L885" s="9">
        <v>1632014.6965328897</v>
      </c>
    </row>
    <row r="886" spans="11:12" x14ac:dyDescent="0.25">
      <c r="K886" s="1">
        <v>874</v>
      </c>
      <c r="L886" s="9">
        <v>1751376.0475116475</v>
      </c>
    </row>
    <row r="887" spans="11:12" x14ac:dyDescent="0.25">
      <c r="K887" s="1">
        <v>875</v>
      </c>
      <c r="L887" s="9">
        <v>2123958.669699538</v>
      </c>
    </row>
    <row r="888" spans="11:12" x14ac:dyDescent="0.25">
      <c r="K888" s="1">
        <v>876</v>
      </c>
      <c r="L888" s="9">
        <v>680332.02703551273</v>
      </c>
    </row>
    <row r="889" spans="11:12" x14ac:dyDescent="0.25">
      <c r="K889" s="1">
        <v>877</v>
      </c>
      <c r="L889" s="9">
        <v>634792.11087613995</v>
      </c>
    </row>
    <row r="890" spans="11:12" x14ac:dyDescent="0.25">
      <c r="K890" s="1">
        <v>878</v>
      </c>
      <c r="L890" s="9">
        <v>-142914.61359117512</v>
      </c>
    </row>
    <row r="891" spans="11:12" x14ac:dyDescent="0.25">
      <c r="K891" s="1">
        <v>879</v>
      </c>
      <c r="L891" s="9">
        <v>1913329.8819783414</v>
      </c>
    </row>
    <row r="892" spans="11:12" x14ac:dyDescent="0.25">
      <c r="K892" s="1">
        <v>880</v>
      </c>
      <c r="L892" s="9">
        <v>5552560.0688334098</v>
      </c>
    </row>
    <row r="893" spans="11:12" x14ac:dyDescent="0.25">
      <c r="K893" s="1">
        <v>881</v>
      </c>
      <c r="L893" s="9">
        <v>879108.3319270825</v>
      </c>
    </row>
    <row r="894" spans="11:12" x14ac:dyDescent="0.25">
      <c r="K894" s="1">
        <v>882</v>
      </c>
      <c r="L894" s="9">
        <v>452280.61573610792</v>
      </c>
    </row>
    <row r="895" spans="11:12" x14ac:dyDescent="0.25">
      <c r="K895" s="1">
        <v>883</v>
      </c>
      <c r="L895" s="9">
        <v>726617.93177023623</v>
      </c>
    </row>
    <row r="896" spans="11:12" x14ac:dyDescent="0.25">
      <c r="K896" s="1">
        <v>884</v>
      </c>
      <c r="L896" s="9">
        <v>1377678.2598689247</v>
      </c>
    </row>
    <row r="897" spans="11:12" x14ac:dyDescent="0.25">
      <c r="K897" s="1">
        <v>885</v>
      </c>
      <c r="L897" s="9">
        <v>386118.48699331074</v>
      </c>
    </row>
    <row r="898" spans="11:12" x14ac:dyDescent="0.25">
      <c r="K898" s="1">
        <v>886</v>
      </c>
      <c r="L898" s="9">
        <v>504344.52766807878</v>
      </c>
    </row>
    <row r="899" spans="11:12" x14ac:dyDescent="0.25">
      <c r="K899" s="1">
        <v>887</v>
      </c>
      <c r="L899" s="9">
        <v>639587.02641152544</v>
      </c>
    </row>
    <row r="900" spans="11:12" x14ac:dyDescent="0.25">
      <c r="K900" s="1">
        <v>888</v>
      </c>
      <c r="L900" s="9">
        <v>4422685.4002367016</v>
      </c>
    </row>
    <row r="901" spans="11:12" x14ac:dyDescent="0.25">
      <c r="K901" s="1">
        <v>889</v>
      </c>
      <c r="L901" s="9">
        <v>2250730.7008773345</v>
      </c>
    </row>
    <row r="902" spans="11:12" x14ac:dyDescent="0.25">
      <c r="K902" s="1">
        <v>890</v>
      </c>
      <c r="L902" s="9">
        <v>873685.224301646</v>
      </c>
    </row>
    <row r="903" spans="11:12" x14ac:dyDescent="0.25">
      <c r="K903" s="1">
        <v>891</v>
      </c>
      <c r="L903" s="9">
        <v>1035192.8664511393</v>
      </c>
    </row>
    <row r="904" spans="11:12" x14ac:dyDescent="0.25">
      <c r="K904" s="1">
        <v>892</v>
      </c>
      <c r="L904" s="9">
        <v>-178346.47046013299</v>
      </c>
    </row>
    <row r="905" spans="11:12" x14ac:dyDescent="0.25">
      <c r="K905" s="1">
        <v>893</v>
      </c>
      <c r="L905" s="9">
        <v>2415502.6422005501</v>
      </c>
    </row>
    <row r="906" spans="11:12" x14ac:dyDescent="0.25">
      <c r="K906" s="1">
        <v>894</v>
      </c>
      <c r="L906" s="9">
        <v>1322681.5917588612</v>
      </c>
    </row>
    <row r="907" spans="11:12" x14ac:dyDescent="0.25">
      <c r="K907" s="1">
        <v>895</v>
      </c>
      <c r="L907" s="9">
        <v>2245906.4455196261</v>
      </c>
    </row>
    <row r="908" spans="11:12" x14ac:dyDescent="0.25">
      <c r="K908" s="1">
        <v>896</v>
      </c>
      <c r="L908" s="9">
        <v>1476271.0191404014</v>
      </c>
    </row>
    <row r="909" spans="11:12" x14ac:dyDescent="0.25">
      <c r="K909" s="1">
        <v>897</v>
      </c>
      <c r="L909" s="9">
        <v>765859.10699371202</v>
      </c>
    </row>
    <row r="910" spans="11:12" x14ac:dyDescent="0.25">
      <c r="K910" s="1">
        <v>898</v>
      </c>
      <c r="L910" s="9">
        <v>2278357.4391355221</v>
      </c>
    </row>
    <row r="911" spans="11:12" x14ac:dyDescent="0.25">
      <c r="K911" s="1">
        <v>899</v>
      </c>
      <c r="L911" s="9">
        <v>1511279.5209286097</v>
      </c>
    </row>
    <row r="912" spans="11:12" x14ac:dyDescent="0.25">
      <c r="K912" s="1">
        <v>900</v>
      </c>
      <c r="L912" s="9">
        <v>576785.6814375387</v>
      </c>
    </row>
    <row r="913" spans="11:12" x14ac:dyDescent="0.25">
      <c r="K913" s="1">
        <v>901</v>
      </c>
      <c r="L913" s="9">
        <v>477581.54854403716</v>
      </c>
    </row>
    <row r="914" spans="11:12" x14ac:dyDescent="0.25">
      <c r="K914" s="1">
        <v>902</v>
      </c>
      <c r="L914" s="9">
        <v>1036963.4730977509</v>
      </c>
    </row>
    <row r="915" spans="11:12" x14ac:dyDescent="0.25">
      <c r="K915" s="1">
        <v>903</v>
      </c>
      <c r="L915" s="9">
        <v>1157345.0283494324</v>
      </c>
    </row>
    <row r="916" spans="11:12" x14ac:dyDescent="0.25">
      <c r="K916" s="1">
        <v>904</v>
      </c>
      <c r="L916" s="9">
        <v>955714.88010933087</v>
      </c>
    </row>
    <row r="917" spans="11:12" x14ac:dyDescent="0.25">
      <c r="K917" s="1">
        <v>905</v>
      </c>
      <c r="L917" s="9">
        <v>2234054.5825899518</v>
      </c>
    </row>
    <row r="918" spans="11:12" x14ac:dyDescent="0.25">
      <c r="K918" s="1">
        <v>906</v>
      </c>
      <c r="L918" s="9">
        <v>2789527.263991842</v>
      </c>
    </row>
    <row r="919" spans="11:12" x14ac:dyDescent="0.25">
      <c r="K919" s="1">
        <v>907</v>
      </c>
      <c r="L919" s="9">
        <v>331396.69012910384</v>
      </c>
    </row>
    <row r="920" spans="11:12" x14ac:dyDescent="0.25">
      <c r="K920" s="1">
        <v>908</v>
      </c>
      <c r="L920" s="9">
        <v>376424.56605386687</v>
      </c>
    </row>
    <row r="921" spans="11:12" x14ac:dyDescent="0.25">
      <c r="K921" s="1">
        <v>909</v>
      </c>
      <c r="L921" s="9">
        <v>4116457.007474388</v>
      </c>
    </row>
    <row r="922" spans="11:12" x14ac:dyDescent="0.25">
      <c r="K922" s="1">
        <v>910</v>
      </c>
      <c r="L922" s="9">
        <v>1246962.7825272204</v>
      </c>
    </row>
    <row r="923" spans="11:12" x14ac:dyDescent="0.25">
      <c r="K923" s="1">
        <v>911</v>
      </c>
      <c r="L923" s="9">
        <v>1614617.9443481616</v>
      </c>
    </row>
    <row r="924" spans="11:12" x14ac:dyDescent="0.25">
      <c r="K924" s="1">
        <v>912</v>
      </c>
      <c r="L924" s="9">
        <v>1761337.2611314617</v>
      </c>
    </row>
    <row r="925" spans="11:12" x14ac:dyDescent="0.25">
      <c r="K925" s="1">
        <v>913</v>
      </c>
      <c r="L925" s="9">
        <v>2948180.1358905695</v>
      </c>
    </row>
    <row r="926" spans="11:12" x14ac:dyDescent="0.25">
      <c r="K926" s="1">
        <v>914</v>
      </c>
      <c r="L926" s="9">
        <v>2600986.5854371702</v>
      </c>
    </row>
    <row r="927" spans="11:12" x14ac:dyDescent="0.25">
      <c r="K927" s="1">
        <v>915</v>
      </c>
      <c r="L927" s="9">
        <v>2397658.5418105153</v>
      </c>
    </row>
    <row r="928" spans="11:12" x14ac:dyDescent="0.25">
      <c r="K928" s="1">
        <v>916</v>
      </c>
      <c r="L928" s="9">
        <v>1009004.519329967</v>
      </c>
    </row>
    <row r="929" spans="11:12" x14ac:dyDescent="0.25">
      <c r="K929" s="1">
        <v>917</v>
      </c>
      <c r="L929" s="9">
        <v>2738754.7351687094</v>
      </c>
    </row>
    <row r="930" spans="11:12" x14ac:dyDescent="0.25">
      <c r="K930" s="1">
        <v>918</v>
      </c>
      <c r="L930" s="9">
        <v>2959388.0633283425</v>
      </c>
    </row>
    <row r="931" spans="11:12" x14ac:dyDescent="0.25">
      <c r="K931" s="1">
        <v>919</v>
      </c>
      <c r="L931" s="9">
        <v>1829612.5867001619</v>
      </c>
    </row>
    <row r="932" spans="11:12" x14ac:dyDescent="0.25">
      <c r="K932" s="1">
        <v>920</v>
      </c>
      <c r="L932" s="9">
        <v>2605503.7117554713</v>
      </c>
    </row>
    <row r="933" spans="11:12" x14ac:dyDescent="0.25">
      <c r="K933" s="1">
        <v>921</v>
      </c>
      <c r="L933" s="9">
        <v>1784226.7254898995</v>
      </c>
    </row>
    <row r="934" spans="11:12" x14ac:dyDescent="0.25">
      <c r="K934" s="1">
        <v>922</v>
      </c>
      <c r="L934" s="9">
        <v>1307915.0871311647</v>
      </c>
    </row>
    <row r="935" spans="11:12" x14ac:dyDescent="0.25">
      <c r="K935" s="1">
        <v>923</v>
      </c>
      <c r="L935" s="9">
        <v>969411.81366294646</v>
      </c>
    </row>
    <row r="936" spans="11:12" x14ac:dyDescent="0.25">
      <c r="K936" s="1">
        <v>924</v>
      </c>
      <c r="L936" s="9">
        <v>-124612.08221384625</v>
      </c>
    </row>
    <row r="937" spans="11:12" x14ac:dyDescent="0.25">
      <c r="K937" s="1">
        <v>925</v>
      </c>
      <c r="L937" s="9">
        <v>498194.98363672174</v>
      </c>
    </row>
    <row r="938" spans="11:12" x14ac:dyDescent="0.25">
      <c r="K938" s="1">
        <v>926</v>
      </c>
      <c r="L938" s="9">
        <v>550380.82025879272</v>
      </c>
    </row>
    <row r="939" spans="11:12" x14ac:dyDescent="0.25">
      <c r="K939" s="1">
        <v>927</v>
      </c>
      <c r="L939" s="9">
        <v>1270246.6354626687</v>
      </c>
    </row>
    <row r="940" spans="11:12" x14ac:dyDescent="0.25">
      <c r="K940" s="1">
        <v>928</v>
      </c>
      <c r="L940" s="9">
        <v>3880055.6230925517</v>
      </c>
    </row>
    <row r="941" spans="11:12" x14ac:dyDescent="0.25">
      <c r="K941" s="1">
        <v>929</v>
      </c>
      <c r="L941" s="9">
        <v>650432.16969254555</v>
      </c>
    </row>
    <row r="942" spans="11:12" x14ac:dyDescent="0.25">
      <c r="K942" s="1">
        <v>930</v>
      </c>
      <c r="L942" s="9">
        <v>1544086.7285339129</v>
      </c>
    </row>
    <row r="943" spans="11:12" x14ac:dyDescent="0.25">
      <c r="K943" s="1">
        <v>931</v>
      </c>
      <c r="L943" s="9">
        <v>291634.24373610411</v>
      </c>
    </row>
    <row r="944" spans="11:12" x14ac:dyDescent="0.25">
      <c r="K944" s="1">
        <v>932</v>
      </c>
      <c r="L944" s="9">
        <v>1060956.2805759711</v>
      </c>
    </row>
    <row r="945" spans="11:12" x14ac:dyDescent="0.25">
      <c r="K945" s="1">
        <v>933</v>
      </c>
      <c r="L945" s="9">
        <v>2572475.0989760403</v>
      </c>
    </row>
    <row r="946" spans="11:12" x14ac:dyDescent="0.25">
      <c r="K946" s="1">
        <v>934</v>
      </c>
      <c r="L946" s="9">
        <v>1406409.8997700433</v>
      </c>
    </row>
    <row r="947" spans="11:12" x14ac:dyDescent="0.25">
      <c r="K947" s="1">
        <v>935</v>
      </c>
      <c r="L947" s="9">
        <v>1551841.5571543486</v>
      </c>
    </row>
    <row r="948" spans="11:12" x14ac:dyDescent="0.25">
      <c r="K948" s="1">
        <v>936</v>
      </c>
      <c r="L948" s="9">
        <v>1621989.1614383832</v>
      </c>
    </row>
    <row r="949" spans="11:12" x14ac:dyDescent="0.25">
      <c r="K949" s="1">
        <v>937</v>
      </c>
      <c r="L949" s="9">
        <v>773476.70659629442</v>
      </c>
    </row>
    <row r="950" spans="11:12" x14ac:dyDescent="0.25">
      <c r="K950" s="1">
        <v>938</v>
      </c>
      <c r="L950" s="9">
        <v>2102974.4584814659</v>
      </c>
    </row>
    <row r="951" spans="11:12" x14ac:dyDescent="0.25">
      <c r="K951" s="1">
        <v>939</v>
      </c>
      <c r="L951" s="9">
        <v>361398.12771055452</v>
      </c>
    </row>
    <row r="952" spans="11:12" x14ac:dyDescent="0.25">
      <c r="K952" s="1">
        <v>940</v>
      </c>
      <c r="L952" s="9">
        <v>860446.04332081159</v>
      </c>
    </row>
    <row r="953" spans="11:12" x14ac:dyDescent="0.25">
      <c r="K953" s="1">
        <v>941</v>
      </c>
      <c r="L953" s="9">
        <v>676705.70543287229</v>
      </c>
    </row>
    <row r="954" spans="11:12" x14ac:dyDescent="0.25">
      <c r="K954" s="1">
        <v>942</v>
      </c>
      <c r="L954" s="9">
        <v>446865.40613533987</v>
      </c>
    </row>
    <row r="955" spans="11:12" x14ac:dyDescent="0.25">
      <c r="K955" s="1">
        <v>943</v>
      </c>
      <c r="L955" s="9">
        <v>-405619.62594973756</v>
      </c>
    </row>
    <row r="956" spans="11:12" x14ac:dyDescent="0.25">
      <c r="K956" s="1">
        <v>944</v>
      </c>
      <c r="L956" s="9">
        <v>68214.697859157284</v>
      </c>
    </row>
    <row r="957" spans="11:12" x14ac:dyDescent="0.25">
      <c r="K957" s="1">
        <v>945</v>
      </c>
      <c r="L957" s="9">
        <v>2440649.7484617224</v>
      </c>
    </row>
    <row r="958" spans="11:12" x14ac:dyDescent="0.25">
      <c r="K958" s="1">
        <v>946</v>
      </c>
      <c r="L958" s="9">
        <v>2051040.7499932847</v>
      </c>
    </row>
    <row r="959" spans="11:12" x14ac:dyDescent="0.25">
      <c r="K959" s="1">
        <v>947</v>
      </c>
      <c r="L959" s="9">
        <v>978420.83538936661</v>
      </c>
    </row>
    <row r="960" spans="11:12" x14ac:dyDescent="0.25">
      <c r="K960" s="1">
        <v>948</v>
      </c>
      <c r="L960" s="9">
        <v>918655.26488301763</v>
      </c>
    </row>
    <row r="961" spans="11:12" x14ac:dyDescent="0.25">
      <c r="K961" s="1">
        <v>949</v>
      </c>
      <c r="L961" s="9">
        <v>170974.23925294034</v>
      </c>
    </row>
    <row r="962" spans="11:12" x14ac:dyDescent="0.25">
      <c r="K962" s="1">
        <v>950</v>
      </c>
      <c r="L962" s="9">
        <v>1752866.6716075493</v>
      </c>
    </row>
    <row r="963" spans="11:12" x14ac:dyDescent="0.25">
      <c r="K963" s="1">
        <v>951</v>
      </c>
      <c r="L963" s="9">
        <v>994718.33737497404</v>
      </c>
    </row>
    <row r="964" spans="11:12" x14ac:dyDescent="0.25">
      <c r="K964" s="1">
        <v>952</v>
      </c>
      <c r="L964" s="9">
        <v>2540745.9602842275</v>
      </c>
    </row>
    <row r="965" spans="11:12" x14ac:dyDescent="0.25">
      <c r="K965" s="1">
        <v>953</v>
      </c>
      <c r="L965" s="9">
        <v>275658.36597070872</v>
      </c>
    </row>
    <row r="966" spans="11:12" x14ac:dyDescent="0.25">
      <c r="K966" s="1">
        <v>954</v>
      </c>
      <c r="L966" s="9">
        <v>20775.322698160191</v>
      </c>
    </row>
    <row r="967" spans="11:12" x14ac:dyDescent="0.25">
      <c r="K967" s="1">
        <v>955</v>
      </c>
      <c r="L967" s="9">
        <v>2457495.720617306</v>
      </c>
    </row>
    <row r="968" spans="11:12" x14ac:dyDescent="0.25">
      <c r="K968" s="1">
        <v>956</v>
      </c>
      <c r="L968" s="9">
        <v>3066306.5253487574</v>
      </c>
    </row>
    <row r="969" spans="11:12" x14ac:dyDescent="0.25">
      <c r="K969" s="1">
        <v>957</v>
      </c>
      <c r="L969" s="9">
        <v>764840.94802682963</v>
      </c>
    </row>
    <row r="970" spans="11:12" x14ac:dyDescent="0.25">
      <c r="K970" s="1">
        <v>958</v>
      </c>
      <c r="L970" s="9">
        <v>1547484.5140812972</v>
      </c>
    </row>
    <row r="971" spans="11:12" x14ac:dyDescent="0.25">
      <c r="K971" s="1">
        <v>959</v>
      </c>
      <c r="L971" s="9">
        <v>1835212.6144010129</v>
      </c>
    </row>
    <row r="972" spans="11:12" x14ac:dyDescent="0.25">
      <c r="K972" s="1">
        <v>960</v>
      </c>
      <c r="L972" s="9">
        <v>309557.110804506</v>
      </c>
    </row>
    <row r="973" spans="11:12" x14ac:dyDescent="0.25">
      <c r="K973" s="1">
        <v>961</v>
      </c>
      <c r="L973" s="9">
        <v>2649127.4900219385</v>
      </c>
    </row>
    <row r="974" spans="11:12" x14ac:dyDescent="0.25">
      <c r="K974" s="1">
        <v>962</v>
      </c>
      <c r="L974" s="9">
        <v>268456.69691331137</v>
      </c>
    </row>
    <row r="975" spans="11:12" x14ac:dyDescent="0.25">
      <c r="K975" s="1">
        <v>963</v>
      </c>
      <c r="L975" s="9">
        <v>699416.24683798617</v>
      </c>
    </row>
    <row r="976" spans="11:12" x14ac:dyDescent="0.25">
      <c r="K976" s="1">
        <v>964</v>
      </c>
      <c r="L976" s="9">
        <v>665066.80685365712</v>
      </c>
    </row>
    <row r="977" spans="11:12" x14ac:dyDescent="0.25">
      <c r="K977" s="1">
        <v>965</v>
      </c>
      <c r="L977" s="9">
        <v>79458.77179576765</v>
      </c>
    </row>
    <row r="978" spans="11:12" x14ac:dyDescent="0.25">
      <c r="K978" s="1">
        <v>966</v>
      </c>
      <c r="L978" s="9">
        <v>-427711.54817103094</v>
      </c>
    </row>
    <row r="979" spans="11:12" x14ac:dyDescent="0.25">
      <c r="K979" s="1">
        <v>967</v>
      </c>
      <c r="L979" s="9">
        <v>1176402.8010326314</v>
      </c>
    </row>
    <row r="980" spans="11:12" x14ac:dyDescent="0.25">
      <c r="K980" s="1">
        <v>968</v>
      </c>
      <c r="L980" s="9">
        <v>773189.31830131169</v>
      </c>
    </row>
    <row r="981" spans="11:12" x14ac:dyDescent="0.25">
      <c r="K981" s="1">
        <v>969</v>
      </c>
      <c r="L981" s="9">
        <v>41883.977546609996</v>
      </c>
    </row>
    <row r="982" spans="11:12" x14ac:dyDescent="0.25">
      <c r="K982" s="1">
        <v>970</v>
      </c>
      <c r="L982" s="9">
        <v>1310106.3601816562</v>
      </c>
    </row>
    <row r="983" spans="11:12" x14ac:dyDescent="0.25">
      <c r="K983" s="1">
        <v>971</v>
      </c>
      <c r="L983" s="9">
        <v>1636352.3567398307</v>
      </c>
    </row>
    <row r="984" spans="11:12" x14ac:dyDescent="0.25">
      <c r="K984" s="1">
        <v>972</v>
      </c>
      <c r="L984" s="9">
        <v>1256303.866240822</v>
      </c>
    </row>
    <row r="985" spans="11:12" x14ac:dyDescent="0.25">
      <c r="K985" s="1">
        <v>973</v>
      </c>
      <c r="L985" s="9">
        <v>1018602.5378529553</v>
      </c>
    </row>
    <row r="986" spans="11:12" x14ac:dyDescent="0.25">
      <c r="K986" s="1">
        <v>974</v>
      </c>
      <c r="L986" s="9">
        <v>3533245.0490069361</v>
      </c>
    </row>
    <row r="987" spans="11:12" x14ac:dyDescent="0.25">
      <c r="K987" s="1">
        <v>975</v>
      </c>
      <c r="L987" s="9">
        <v>734101.37389999721</v>
      </c>
    </row>
    <row r="988" spans="11:12" x14ac:dyDescent="0.25">
      <c r="K988" s="1">
        <v>976</v>
      </c>
      <c r="L988" s="9">
        <v>696550.30039638665</v>
      </c>
    </row>
    <row r="989" spans="11:12" x14ac:dyDescent="0.25">
      <c r="K989" s="1">
        <v>977</v>
      </c>
      <c r="L989" s="9">
        <v>624703.44909913791</v>
      </c>
    </row>
    <row r="990" spans="11:12" x14ac:dyDescent="0.25">
      <c r="K990" s="1">
        <v>978</v>
      </c>
      <c r="L990" s="9">
        <v>1940748.9827818535</v>
      </c>
    </row>
    <row r="991" spans="11:12" x14ac:dyDescent="0.25">
      <c r="K991" s="1">
        <v>979</v>
      </c>
      <c r="L991" s="9">
        <v>398772.38904155255</v>
      </c>
    </row>
    <row r="992" spans="11:12" x14ac:dyDescent="0.25">
      <c r="K992" s="1">
        <v>980</v>
      </c>
      <c r="L992" s="9">
        <v>-372000.10130843805</v>
      </c>
    </row>
    <row r="993" spans="11:12" x14ac:dyDescent="0.25">
      <c r="K993" s="1">
        <v>981</v>
      </c>
      <c r="L993" s="9">
        <v>1915519.6580280005</v>
      </c>
    </row>
    <row r="994" spans="11:12" x14ac:dyDescent="0.25">
      <c r="K994" s="1">
        <v>982</v>
      </c>
      <c r="L994" s="9">
        <v>855081.27009956702</v>
      </c>
    </row>
    <row r="995" spans="11:12" x14ac:dyDescent="0.25">
      <c r="K995" s="1">
        <v>983</v>
      </c>
      <c r="L995" s="9">
        <v>4368096.0000222111</v>
      </c>
    </row>
    <row r="996" spans="11:12" x14ac:dyDescent="0.25">
      <c r="K996" s="1">
        <v>984</v>
      </c>
      <c r="L996" s="9">
        <v>1191413.1261439915</v>
      </c>
    </row>
    <row r="997" spans="11:12" x14ac:dyDescent="0.25">
      <c r="K997" s="1">
        <v>985</v>
      </c>
      <c r="L997" s="9">
        <v>778319.70380329725</v>
      </c>
    </row>
    <row r="998" spans="11:12" x14ac:dyDescent="0.25">
      <c r="K998" s="1">
        <v>986</v>
      </c>
      <c r="L998" s="9">
        <v>357049.68098701304</v>
      </c>
    </row>
    <row r="999" spans="11:12" x14ac:dyDescent="0.25">
      <c r="K999" s="1">
        <v>987</v>
      </c>
      <c r="L999" s="9">
        <v>298881.64392716496</v>
      </c>
    </row>
    <row r="1000" spans="11:12" x14ac:dyDescent="0.25">
      <c r="K1000" s="1">
        <v>988</v>
      </c>
      <c r="L1000" s="9">
        <v>1083186.0083634474</v>
      </c>
    </row>
    <row r="1001" spans="11:12" x14ac:dyDescent="0.25">
      <c r="K1001" s="1">
        <v>989</v>
      </c>
      <c r="L1001" s="9">
        <v>2879625.4277331145</v>
      </c>
    </row>
    <row r="1002" spans="11:12" x14ac:dyDescent="0.25">
      <c r="K1002" s="1">
        <v>990</v>
      </c>
      <c r="L1002" s="9">
        <v>477313.93203804432</v>
      </c>
    </row>
    <row r="1003" spans="11:12" x14ac:dyDescent="0.25">
      <c r="K1003" s="1">
        <v>991</v>
      </c>
      <c r="L1003" s="9">
        <v>1763739.3036394094</v>
      </c>
    </row>
    <row r="1004" spans="11:12" x14ac:dyDescent="0.25">
      <c r="K1004" s="1">
        <v>992</v>
      </c>
      <c r="L1004" s="9">
        <v>57370.351686874055</v>
      </c>
    </row>
    <row r="1005" spans="11:12" x14ac:dyDescent="0.25">
      <c r="K1005" s="1">
        <v>993</v>
      </c>
      <c r="L1005" s="9">
        <v>2396721.7649837341</v>
      </c>
    </row>
    <row r="1006" spans="11:12" x14ac:dyDescent="0.25">
      <c r="K1006" s="1">
        <v>994</v>
      </c>
      <c r="L1006" s="9">
        <v>2356327.4505219306</v>
      </c>
    </row>
    <row r="1007" spans="11:12" x14ac:dyDescent="0.25">
      <c r="K1007" s="1">
        <v>995</v>
      </c>
      <c r="L1007" s="9">
        <v>1455192.7464986956</v>
      </c>
    </row>
    <row r="1008" spans="11:12" x14ac:dyDescent="0.25">
      <c r="K1008" s="1">
        <v>996</v>
      </c>
      <c r="L1008" s="9">
        <v>1689994.8513722306</v>
      </c>
    </row>
    <row r="1009" spans="11:12" x14ac:dyDescent="0.25">
      <c r="K1009" s="1">
        <v>997</v>
      </c>
      <c r="L1009" s="9">
        <v>265079.50957868405</v>
      </c>
    </row>
    <row r="1010" spans="11:12" x14ac:dyDescent="0.25">
      <c r="K1010" s="1">
        <v>998</v>
      </c>
      <c r="L1010" s="9">
        <v>3333239.5971249565</v>
      </c>
    </row>
    <row r="1011" spans="11:12" x14ac:dyDescent="0.25">
      <c r="K1011" s="1">
        <v>999</v>
      </c>
      <c r="L1011" s="9">
        <v>38981.742718409252</v>
      </c>
    </row>
    <row r="1012" spans="11:12" x14ac:dyDescent="0.25">
      <c r="K1012" s="1">
        <v>1000</v>
      </c>
      <c r="L1012" s="9">
        <v>3147279.0121523133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Monte Carlo Simulations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Sharma</dc:creator>
  <cp:lastModifiedBy>Ritik Sharma</cp:lastModifiedBy>
  <dcterms:created xsi:type="dcterms:W3CDTF">2024-11-02T18:24:37Z</dcterms:created>
  <dcterms:modified xsi:type="dcterms:W3CDTF">2025-05-07T07:20:08Z</dcterms:modified>
</cp:coreProperties>
</file>