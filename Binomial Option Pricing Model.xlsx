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rojects\Quantitative Finance Modelling\"/>
    </mc:Choice>
  </mc:AlternateContent>
  <xr:revisionPtr revIDLastSave="0" documentId="13_ncr:1_{F1028E39-B3DC-4C72-90E8-58B5BB1716D6}" xr6:coauthVersionLast="47" xr6:coauthVersionMax="47" xr10:uidLastSave="{00000000-0000-0000-0000-000000000000}"/>
  <bookViews>
    <workbookView xWindow="-120" yWindow="-120" windowWidth="20730" windowHeight="11040" xr2:uid="{06286BCC-9D8B-481A-A9D1-C9A75396346A}"/>
  </bookViews>
  <sheets>
    <sheet name="Binomial Option Pricing Model" sheetId="1" r:id="rId1"/>
    <sheet name="VBA Metho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" l="1"/>
  <c r="B18" i="1"/>
  <c r="B13" i="2"/>
  <c r="F4" i="2"/>
  <c r="H22" i="1"/>
  <c r="H20" i="1"/>
  <c r="H18" i="1"/>
  <c r="F12" i="1"/>
  <c r="G13" i="1"/>
  <c r="G11" i="1"/>
  <c r="B16" i="1"/>
  <c r="B15" i="1"/>
  <c r="H14" i="1"/>
  <c r="H12" i="1"/>
  <c r="B13" i="1"/>
  <c r="B11" i="1"/>
  <c r="G5" i="1" s="1"/>
  <c r="H6" i="1" s="1"/>
  <c r="H10" i="1"/>
  <c r="B10" i="1"/>
  <c r="H4" i="1"/>
  <c r="F4" i="1"/>
  <c r="G3" i="1"/>
  <c r="H2" i="1"/>
  <c r="B19" i="2" a="1"/>
  <c r="B18" i="2" a="1"/>
  <c r="B19" i="2" l="1"/>
  <c r="B18" i="2"/>
  <c r="B10" i="2"/>
  <c r="B11" i="2" s="1"/>
  <c r="G5" i="2" s="1"/>
  <c r="H6" i="2" s="1"/>
  <c r="G21" i="1"/>
  <c r="F20" i="1" s="1"/>
  <c r="G19" i="1"/>
  <c r="B15" i="2" l="1"/>
  <c r="G3" i="2"/>
  <c r="H22" i="2"/>
  <c r="H14" i="2"/>
  <c r="H2" i="2" l="1"/>
  <c r="H4" i="2"/>
  <c r="B16" i="2"/>
  <c r="H20" i="2" l="1"/>
  <c r="G21" i="2" s="1"/>
  <c r="H12" i="2"/>
  <c r="G13" i="2" s="1"/>
  <c r="H18" i="2"/>
  <c r="G19" i="2" s="1"/>
  <c r="F20" i="2" s="1"/>
  <c r="H10" i="2"/>
  <c r="G11" i="2" s="1"/>
  <c r="F1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<sst xmlns="http://schemas.openxmlformats.org/spreadsheetml/2006/main" count="42" uniqueCount="24">
  <si>
    <t>Binomial Option Pricing Model( European Options)</t>
  </si>
  <si>
    <t>Stock Price (S)</t>
  </si>
  <si>
    <t>Strike/ Exercise Price (K)</t>
  </si>
  <si>
    <t>Time to Maturity(In Years) (T)</t>
  </si>
  <si>
    <t>Risk- free Rate (rf)</t>
  </si>
  <si>
    <t>Volatility (σ)</t>
  </si>
  <si>
    <t>Number of Steps (n)</t>
  </si>
  <si>
    <r>
      <t xml:space="preserve">Option Type ( </t>
    </r>
    <r>
      <rPr>
        <b/>
        <sz val="11"/>
        <color theme="1"/>
        <rFont val="Calibri"/>
        <family val="2"/>
        <scheme val="minor"/>
      </rPr>
      <t xml:space="preserve">Call </t>
    </r>
    <r>
      <rPr>
        <sz val="11"/>
        <color theme="1"/>
        <rFont val="Calibri"/>
        <family val="2"/>
        <scheme val="minor"/>
      </rPr>
      <t xml:space="preserve">or </t>
    </r>
    <r>
      <rPr>
        <b/>
        <sz val="11"/>
        <color theme="1"/>
        <rFont val="Calibri"/>
        <family val="2"/>
        <scheme val="minor"/>
      </rPr>
      <t>Put</t>
    </r>
    <r>
      <rPr>
        <sz val="11"/>
        <color theme="1"/>
        <rFont val="Calibri"/>
        <family val="2"/>
        <scheme val="minor"/>
      </rPr>
      <t xml:space="preserve"> )</t>
    </r>
  </si>
  <si>
    <t>Call</t>
  </si>
  <si>
    <t>European Call Option</t>
  </si>
  <si>
    <t>Up Factor (u)</t>
  </si>
  <si>
    <t xml:space="preserve"> </t>
  </si>
  <si>
    <t>Down Factor (d)</t>
  </si>
  <si>
    <t>Incremental Timestamp(dt)</t>
  </si>
  <si>
    <t>time to maturity/ Number of steps</t>
  </si>
  <si>
    <t>Risk-neutral probability (p)</t>
  </si>
  <si>
    <t>1-P</t>
  </si>
  <si>
    <t xml:space="preserve">  </t>
  </si>
  <si>
    <t>European Put Option</t>
  </si>
  <si>
    <t>Option Price</t>
  </si>
  <si>
    <t>Put</t>
  </si>
  <si>
    <t>Binomial Option Pricing Model( Options)</t>
  </si>
  <si>
    <t>Call Option</t>
  </si>
  <si>
    <t xml:space="preserve"> Put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</si>
</sst>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1" xfId="0" applyFont="1" applyBorder="1"/>
    <xf numFmtId="0" fontId="2" fillId="0" borderId="2" xfId="0" applyFont="1" applyBorder="1"/>
    <xf numFmtId="0" fontId="0" fillId="0" borderId="2" xfId="0" applyBorder="1"/>
    <xf numFmtId="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BBF2B-2CA9-450F-8CC1-C18530939958}">
  <sheetPr codeName="Sheet1"/>
  <dimension ref="A1:H22"/>
  <sheetViews>
    <sheetView tabSelected="1" zoomScale="77" zoomScaleNormal="77" workbookViewId="0">
      <selection activeCell="F13" sqref="F13"/>
    </sheetView>
  </sheetViews>
  <sheetFormatPr defaultRowHeight="15" x14ac:dyDescent="0.25"/>
  <cols>
    <col min="1" max="1" width="47.140625" bestFit="1" customWidth="1"/>
    <col min="2" max="2" width="32.140625" bestFit="1" customWidth="1"/>
    <col min="3" max="3" width="1.42578125" bestFit="1" customWidth="1"/>
    <col min="6" max="6" width="20" bestFit="1" customWidth="1"/>
    <col min="7" max="8" width="12" bestFit="1" customWidth="1"/>
  </cols>
  <sheetData>
    <row r="1" spans="1:8" ht="15.75" thickBot="1" x14ac:dyDescent="0.3">
      <c r="A1" s="3" t="s">
        <v>21</v>
      </c>
      <c r="B1" s="4"/>
      <c r="F1" s="2">
        <v>0</v>
      </c>
      <c r="G1" s="2">
        <v>1</v>
      </c>
      <c r="H1" s="2">
        <v>2</v>
      </c>
    </row>
    <row r="2" spans="1:8" x14ac:dyDescent="0.25">
      <c r="A2" s="4" t="s">
        <v>1</v>
      </c>
      <c r="B2" s="4">
        <v>40</v>
      </c>
      <c r="H2">
        <f>G3*B10</f>
        <v>59.672987905650814</v>
      </c>
    </row>
    <row r="3" spans="1:8" x14ac:dyDescent="0.25">
      <c r="A3" s="4" t="s">
        <v>2</v>
      </c>
      <c r="B3" s="4">
        <v>40</v>
      </c>
      <c r="G3">
        <f>F4*B10</f>
        <v>48.856110326406792</v>
      </c>
    </row>
    <row r="4" spans="1:8" x14ac:dyDescent="0.25">
      <c r="A4" s="4" t="s">
        <v>3</v>
      </c>
      <c r="B4" s="4">
        <v>2</v>
      </c>
      <c r="F4">
        <f>B2</f>
        <v>40</v>
      </c>
      <c r="H4">
        <f>G3*B11</f>
        <v>40</v>
      </c>
    </row>
    <row r="5" spans="1:8" x14ac:dyDescent="0.25">
      <c r="A5" s="4" t="s">
        <v>4</v>
      </c>
      <c r="B5" s="5">
        <v>0.05</v>
      </c>
      <c r="G5">
        <f>F4*B11</f>
        <v>32.749230123119276</v>
      </c>
    </row>
    <row r="6" spans="1:8" x14ac:dyDescent="0.25">
      <c r="A6" s="4" t="s">
        <v>5</v>
      </c>
      <c r="B6" s="5">
        <v>0.2</v>
      </c>
      <c r="H6">
        <f>G5*B11</f>
        <v>26.812801841425571</v>
      </c>
    </row>
    <row r="7" spans="1:8" x14ac:dyDescent="0.25">
      <c r="A7" s="4" t="s">
        <v>6</v>
      </c>
      <c r="B7" s="4">
        <v>2</v>
      </c>
    </row>
    <row r="8" spans="1:8" x14ac:dyDescent="0.25">
      <c r="A8" s="4" t="s">
        <v>7</v>
      </c>
      <c r="B8" s="4" t="s">
        <v>8</v>
      </c>
      <c r="F8" s="1" t="s">
        <v>22</v>
      </c>
    </row>
    <row r="9" spans="1:8" ht="15.75" thickBot="1" x14ac:dyDescent="0.3">
      <c r="A9" s="4"/>
      <c r="B9" s="4"/>
      <c r="F9" s="2">
        <v>0</v>
      </c>
      <c r="G9" s="2">
        <v>1</v>
      </c>
      <c r="H9" s="2">
        <v>2</v>
      </c>
    </row>
    <row r="10" spans="1:8" x14ac:dyDescent="0.25">
      <c r="A10" s="4" t="s">
        <v>10</v>
      </c>
      <c r="B10" s="4">
        <f>EXP(B6*SQRT(B13))</f>
        <v>1.2214027581601699</v>
      </c>
      <c r="C10" t="s">
        <v>11</v>
      </c>
      <c r="H10">
        <f>MAX(0,H2-$B$3)</f>
        <v>19.672987905650814</v>
      </c>
    </row>
    <row r="11" spans="1:8" x14ac:dyDescent="0.25">
      <c r="A11" s="4" t="s">
        <v>12</v>
      </c>
      <c r="B11" s="4">
        <f>1/B10</f>
        <v>0.81873075307798182</v>
      </c>
      <c r="G11">
        <f>($B$15*H10+$B$16*H12)*EXP(-$B$5*$B$13)</f>
        <v>10.806933346378237</v>
      </c>
    </row>
    <row r="12" spans="1:8" x14ac:dyDescent="0.25">
      <c r="A12" s="4"/>
      <c r="B12" s="4"/>
      <c r="F12">
        <f>($B$15*G11+$B$16*G13)*EXP(-$B$5*$B$13)</f>
        <v>5.9365567097977801</v>
      </c>
      <c r="H12">
        <f>MAX(0,H4-$B$3)</f>
        <v>0</v>
      </c>
    </row>
    <row r="13" spans="1:8" x14ac:dyDescent="0.25">
      <c r="A13" s="4" t="s">
        <v>13</v>
      </c>
      <c r="B13" s="4">
        <f>B4/B7</f>
        <v>1</v>
      </c>
      <c r="G13">
        <f>($B$15*H12+$B$16*H14)*EXP(-$B$5*$B$13)</f>
        <v>0</v>
      </c>
    </row>
    <row r="14" spans="1:8" x14ac:dyDescent="0.25">
      <c r="A14" s="4"/>
      <c r="B14" s="4" t="s">
        <v>14</v>
      </c>
      <c r="H14">
        <f>MAX(0,H6-$B$3)</f>
        <v>0</v>
      </c>
    </row>
    <row r="15" spans="1:8" x14ac:dyDescent="0.25">
      <c r="A15" s="4" t="s">
        <v>15</v>
      </c>
      <c r="B15" s="4">
        <f>(EXP(B5*B13)-B11)/(B10-B11)</f>
        <v>0.57749319635612428</v>
      </c>
    </row>
    <row r="16" spans="1:8" x14ac:dyDescent="0.25">
      <c r="A16" s="4" t="s">
        <v>16</v>
      </c>
      <c r="B16" s="4">
        <f>1-B15</f>
        <v>0.42250680364387572</v>
      </c>
      <c r="F16" s="1" t="s">
        <v>23</v>
      </c>
    </row>
    <row r="17" spans="1:8" ht="15.75" thickBot="1" x14ac:dyDescent="0.3">
      <c r="A17" s="4"/>
      <c r="B17" s="4" t="s">
        <v>17</v>
      </c>
      <c r="F17" s="2">
        <v>0</v>
      </c>
      <c r="G17" s="2">
        <v>1</v>
      </c>
      <c r="H17" s="2">
        <v>2</v>
      </c>
    </row>
    <row r="18" spans="1:8" x14ac:dyDescent="0.25">
      <c r="A18" s="4" t="s">
        <v>19</v>
      </c>
      <c r="B18" s="4">
        <f>F12</f>
        <v>5.9365567097977801</v>
      </c>
      <c r="H18">
        <f>MAX(0,$B$3-H2)</f>
        <v>0</v>
      </c>
    </row>
    <row r="19" spans="1:8" x14ac:dyDescent="0.25">
      <c r="A19" s="4"/>
      <c r="B19" s="4">
        <f>F20</f>
        <v>2.1300534312361576</v>
      </c>
      <c r="C19" t="s">
        <v>20</v>
      </c>
      <c r="G19">
        <f>($B$15*H18+$B$16*H20)*EXP(-$B$5*$B$13)</f>
        <v>0</v>
      </c>
    </row>
    <row r="20" spans="1:8" x14ac:dyDescent="0.25">
      <c r="F20">
        <f>($B$15*G19+$B$16*G21)*EXP(-$B$5*$B$13)</f>
        <v>2.1300534312361576</v>
      </c>
      <c r="H20">
        <f>MAX(0,$B$3-H4)</f>
        <v>0</v>
      </c>
    </row>
    <row r="21" spans="1:8" x14ac:dyDescent="0.25">
      <c r="G21">
        <f>($B$15*H20+$B$16*H22)*EXP(-$B$5*$B$13)</f>
        <v>5.2999468569092842</v>
      </c>
    </row>
    <row r="22" spans="1:8" x14ac:dyDescent="0.25">
      <c r="H22">
        <f>MAX(0,$B$3-H6)</f>
        <v>13.187198158574429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123A8-53AC-4000-9B1D-47A67EEE01ED}">
  <sheetPr codeName="Sheet2"/>
  <dimension ref="A1:H22"/>
  <sheetViews>
    <sheetView workbookViewId="0">
      <selection activeCell="B19" sqref="B19"/>
    </sheetView>
  </sheetViews>
  <sheetFormatPr defaultRowHeight="15" x14ac:dyDescent="0.25"/>
  <cols>
    <col min="1" max="1" width="47.140625" bestFit="1" customWidth="1"/>
    <col min="2" max="2" width="32.140625" bestFit="1" customWidth="1"/>
    <col min="3" max="3" width="3.85546875" customWidth="1"/>
    <col min="6" max="6" width="20" bestFit="1" customWidth="1"/>
    <col min="7" max="8" width="12" bestFit="1" customWidth="1"/>
  </cols>
  <sheetData>
    <row r="1" spans="1:8" ht="15.75" thickBot="1" x14ac:dyDescent="0.3">
      <c r="A1" s="3" t="s">
        <v>0</v>
      </c>
      <c r="B1" s="4"/>
      <c r="F1" s="2">
        <v>0</v>
      </c>
      <c r="G1" s="2">
        <v>1</v>
      </c>
      <c r="H1" s="2">
        <v>2</v>
      </c>
    </row>
    <row r="2" spans="1:8" x14ac:dyDescent="0.25">
      <c r="A2" s="4" t="s">
        <v>1</v>
      </c>
      <c r="B2" s="4">
        <v>40</v>
      </c>
      <c r="H2">
        <f>G3*B10</f>
        <v>59.672987905650814</v>
      </c>
    </row>
    <row r="3" spans="1:8" x14ac:dyDescent="0.25">
      <c r="A3" s="4" t="s">
        <v>2</v>
      </c>
      <c r="B3" s="4">
        <v>40</v>
      </c>
      <c r="G3">
        <f>F4*B10</f>
        <v>48.856110326406792</v>
      </c>
    </row>
    <row r="4" spans="1:8" x14ac:dyDescent="0.25">
      <c r="A4" s="4" t="s">
        <v>3</v>
      </c>
      <c r="B4" s="4">
        <v>2</v>
      </c>
      <c r="F4">
        <f>B2</f>
        <v>40</v>
      </c>
      <c r="H4">
        <f>G3*B11</f>
        <v>40</v>
      </c>
    </row>
    <row r="5" spans="1:8" x14ac:dyDescent="0.25">
      <c r="A5" s="4" t="s">
        <v>4</v>
      </c>
      <c r="B5" s="5">
        <v>0.05</v>
      </c>
      <c r="G5">
        <f>F4*B11</f>
        <v>32.749230123119276</v>
      </c>
    </row>
    <row r="6" spans="1:8" x14ac:dyDescent="0.25">
      <c r="A6" s="4" t="s">
        <v>5</v>
      </c>
      <c r="B6" s="5">
        <v>0.2</v>
      </c>
      <c r="H6">
        <f>G5*B11</f>
        <v>26.812801841425571</v>
      </c>
    </row>
    <row r="7" spans="1:8" x14ac:dyDescent="0.25">
      <c r="A7" s="4" t="s">
        <v>6</v>
      </c>
      <c r="B7" s="4">
        <v>2</v>
      </c>
    </row>
    <row r="8" spans="1:8" x14ac:dyDescent="0.25">
      <c r="A8" s="4" t="s">
        <v>7</v>
      </c>
      <c r="B8" s="4" t="s">
        <v>8</v>
      </c>
      <c r="F8" s="1" t="s">
        <v>9</v>
      </c>
    </row>
    <row r="9" spans="1:8" ht="15.75" thickBot="1" x14ac:dyDescent="0.3">
      <c r="A9" s="4"/>
      <c r="B9" s="4"/>
      <c r="F9" s="2">
        <v>0</v>
      </c>
      <c r="G9" s="2">
        <v>1</v>
      </c>
      <c r="H9" s="2">
        <v>2</v>
      </c>
    </row>
    <row r="10" spans="1:8" x14ac:dyDescent="0.25">
      <c r="A10" s="4" t="s">
        <v>10</v>
      </c>
      <c r="B10" s="4">
        <f>EXP(B6*SQRT(B13))</f>
        <v>1.2214027581601699</v>
      </c>
      <c r="C10" t="s">
        <v>11</v>
      </c>
      <c r="H10">
        <f>MAX(0,H2-$B$3)</f>
        <v>19.672987905650814</v>
      </c>
    </row>
    <row r="11" spans="1:8" x14ac:dyDescent="0.25">
      <c r="A11" s="4" t="s">
        <v>12</v>
      </c>
      <c r="B11" s="4">
        <f>1/B10</f>
        <v>0.81873075307798182</v>
      </c>
      <c r="G11">
        <f>($B$15*H10+$B$16*H12)*EXP(-$B$5*$B$13)</f>
        <v>10.806933346378237</v>
      </c>
    </row>
    <row r="12" spans="1:8" x14ac:dyDescent="0.25">
      <c r="A12" s="4"/>
      <c r="B12" s="4"/>
      <c r="F12">
        <f>($B$15*G11+$B$16*G13)*EXP(-$B$5*$B$13)</f>
        <v>5.9365567097977801</v>
      </c>
      <c r="H12">
        <f>MAX(0,H4-$B$3)</f>
        <v>0</v>
      </c>
    </row>
    <row r="13" spans="1:8" x14ac:dyDescent="0.25">
      <c r="A13" s="4" t="s">
        <v>13</v>
      </c>
      <c r="B13" s="4">
        <f>B4/B7</f>
        <v>1</v>
      </c>
      <c r="G13">
        <f>($B$15*H12+$B$16*H14)*EXP(-$B$5*$B$13)</f>
        <v>0</v>
      </c>
    </row>
    <row r="14" spans="1:8" x14ac:dyDescent="0.25">
      <c r="A14" s="4"/>
      <c r="B14" s="4" t="s">
        <v>14</v>
      </c>
      <c r="H14">
        <f>MAX(0,H6-$B$3)</f>
        <v>0</v>
      </c>
    </row>
    <row r="15" spans="1:8" x14ac:dyDescent="0.25">
      <c r="A15" s="4" t="s">
        <v>15</v>
      </c>
      <c r="B15" s="4">
        <f>(EXP(B5*B13)-B11)/(B10-B11)</f>
        <v>0.57749319635612428</v>
      </c>
    </row>
    <row r="16" spans="1:8" x14ac:dyDescent="0.25">
      <c r="A16" s="4" t="s">
        <v>16</v>
      </c>
      <c r="B16" s="4">
        <f>1-B15</f>
        <v>0.42250680364387572</v>
      </c>
      <c r="F16" s="1" t="s">
        <v>18</v>
      </c>
    </row>
    <row r="17" spans="1:8" ht="15.75" thickBot="1" x14ac:dyDescent="0.3">
      <c r="A17" s="4"/>
      <c r="B17" s="4" t="s">
        <v>17</v>
      </c>
      <c r="F17" s="2">
        <v>0</v>
      </c>
      <c r="G17" s="2">
        <v>1</v>
      </c>
      <c r="H17" s="2">
        <v>2</v>
      </c>
    </row>
    <row r="18" spans="1:8" x14ac:dyDescent="0.25">
      <c r="A18" s="4" t="s">
        <v>19</v>
      </c>
      <c r="B18" s="4" cm="1">
        <f t="array" ref="B18">BinomEuro(B2,B3,B4,B5,B6,B7,B8)</f>
        <v>5.9365567097977792</v>
      </c>
      <c r="H18">
        <f>MAX(0,$B$3-H2)</f>
        <v>0</v>
      </c>
    </row>
    <row r="19" spans="1:8" x14ac:dyDescent="0.25">
      <c r="A19" s="4"/>
      <c r="B19" s="4" cm="1">
        <f t="array" ref="B19">BinomEuro(B2,B3,B4,B5,B6,B7,C19)</f>
        <v>2.1300534312361576</v>
      </c>
      <c r="C19" t="s">
        <v>20</v>
      </c>
      <c r="G19">
        <f>($B$15*H18+$B$16*H20)*EXP(-$B$5*$B$13)</f>
        <v>0</v>
      </c>
    </row>
    <row r="20" spans="1:8" x14ac:dyDescent="0.25">
      <c r="F20">
        <f>($B$15*G19+$B$16*G21)*EXP(-$B$5*$B$13)</f>
        <v>2.1300534312361576</v>
      </c>
      <c r="H20">
        <f>MAX(0,$B$3-H4)</f>
        <v>0</v>
      </c>
    </row>
    <row r="21" spans="1:8" x14ac:dyDescent="0.25">
      <c r="G21">
        <f>($B$15*H20+$B$16*H22)*EXP(-$B$5*$B$13)</f>
        <v>5.2999468569092842</v>
      </c>
    </row>
    <row r="22" spans="1:8" x14ac:dyDescent="0.25">
      <c r="H22">
        <f>MAX(0,$B$3-H6)</f>
        <v>13.187198158574429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Binomial Option Pricing Model</vt:lpstr>
      <vt:lpstr>VBA 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Sharma</dc:creator>
  <cp:lastModifiedBy>Ritik Sharma</cp:lastModifiedBy>
  <dcterms:created xsi:type="dcterms:W3CDTF">2024-11-02T14:32:17Z</dcterms:created>
  <dcterms:modified xsi:type="dcterms:W3CDTF">2025-05-07T07:17:11Z</dcterms:modified>
</cp:coreProperties>
</file>