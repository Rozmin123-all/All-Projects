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Projects\Quantitative Finance Modelling\"/>
    </mc:Choice>
  </mc:AlternateContent>
  <xr:revisionPtr revIDLastSave="0" documentId="13_ncr:1_{3277BE02-59B9-41C2-8A3C-8DC54BF5C7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cal VaR and CVaR" sheetId="2" r:id="rId1"/>
  </sheets>
  <definedNames>
    <definedName name="ExternalData_1" localSheetId="0" hidden="1">'Historical VaR and CVaR'!$A$1:$G$1259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L3" i="2" l="1" a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K1243" i="2" l="1"/>
  <c r="K1211" i="2"/>
  <c r="K1179" i="2"/>
  <c r="K1148" i="2"/>
  <c r="K1102" i="2"/>
  <c r="K1038" i="2"/>
  <c r="K974" i="2"/>
  <c r="K894" i="2"/>
  <c r="K830" i="2"/>
  <c r="K766" i="2"/>
  <c r="K702" i="2"/>
  <c r="K638" i="2"/>
  <c r="K533" i="2"/>
  <c r="K201" i="2"/>
  <c r="K1246" i="2"/>
  <c r="K1230" i="2"/>
  <c r="K1214" i="2"/>
  <c r="K1198" i="2"/>
  <c r="K1182" i="2"/>
  <c r="K1154" i="2"/>
  <c r="K1114" i="2"/>
  <c r="K1050" i="2"/>
  <c r="K986" i="2"/>
  <c r="K922" i="2"/>
  <c r="K858" i="2"/>
  <c r="K794" i="2"/>
  <c r="K730" i="2"/>
  <c r="K666" i="2"/>
  <c r="K599" i="2"/>
  <c r="K380" i="2"/>
  <c r="L3" i="2"/>
  <c r="K1251" i="2" s="1"/>
  <c r="K11" i="2"/>
  <c r="K19" i="2"/>
  <c r="K27" i="2"/>
  <c r="K35" i="2"/>
  <c r="K43" i="2"/>
  <c r="K51" i="2"/>
  <c r="K59" i="2"/>
  <c r="K67" i="2"/>
  <c r="K75" i="2"/>
  <c r="K83" i="2"/>
  <c r="K91" i="2"/>
  <c r="K99" i="2"/>
  <c r="K107" i="2"/>
  <c r="K115" i="2"/>
  <c r="K119" i="2"/>
  <c r="K123" i="2"/>
  <c r="K127" i="2"/>
  <c r="K131" i="2"/>
  <c r="K135" i="2"/>
  <c r="K139" i="2"/>
  <c r="K143" i="2"/>
  <c r="K147" i="2"/>
  <c r="K151" i="2"/>
  <c r="K155" i="2"/>
  <c r="K159" i="2"/>
  <c r="K163" i="2"/>
  <c r="K167" i="2"/>
  <c r="K171" i="2"/>
  <c r="K175" i="2"/>
  <c r="K179" i="2"/>
  <c r="K183" i="2"/>
  <c r="K187" i="2"/>
  <c r="K191" i="2"/>
  <c r="K195" i="2"/>
  <c r="K199" i="2"/>
  <c r="K203" i="2"/>
  <c r="K207" i="2"/>
  <c r="K211" i="2"/>
  <c r="K215" i="2"/>
  <c r="K219" i="2"/>
  <c r="K223" i="2"/>
  <c r="K227" i="2"/>
  <c r="K231" i="2"/>
  <c r="K235" i="2"/>
  <c r="K239" i="2"/>
  <c r="K243" i="2"/>
  <c r="K247" i="2"/>
  <c r="K251" i="2"/>
  <c r="K255" i="2"/>
  <c r="K259" i="2"/>
  <c r="K263" i="2"/>
  <c r="K267" i="2"/>
  <c r="K271" i="2"/>
  <c r="K275" i="2"/>
  <c r="K279" i="2"/>
  <c r="K283" i="2"/>
  <c r="K287" i="2"/>
  <c r="K291" i="2"/>
  <c r="K295" i="2"/>
  <c r="K299" i="2"/>
  <c r="K303" i="2"/>
  <c r="K307" i="2"/>
  <c r="K311" i="2"/>
  <c r="K315" i="2"/>
  <c r="K319" i="2"/>
  <c r="K5" i="2"/>
  <c r="K10" i="2"/>
  <c r="K16" i="2"/>
  <c r="K21" i="2"/>
  <c r="K26" i="2"/>
  <c r="K32" i="2"/>
  <c r="K37" i="2"/>
  <c r="K42" i="2"/>
  <c r="K48" i="2"/>
  <c r="K53" i="2"/>
  <c r="K58" i="2"/>
  <c r="K64" i="2"/>
  <c r="K69" i="2"/>
  <c r="K74" i="2"/>
  <c r="K80" i="2"/>
  <c r="K85" i="2"/>
  <c r="K90" i="2"/>
  <c r="K96" i="2"/>
  <c r="K101" i="2"/>
  <c r="K106" i="2"/>
  <c r="K112" i="2"/>
  <c r="K117" i="2"/>
  <c r="K122" i="2"/>
  <c r="K128" i="2"/>
  <c r="K133" i="2"/>
  <c r="K138" i="2"/>
  <c r="K144" i="2"/>
  <c r="K149" i="2"/>
  <c r="K154" i="2"/>
  <c r="K160" i="2"/>
  <c r="K165" i="2"/>
  <c r="K170" i="2"/>
  <c r="K176" i="2"/>
  <c r="K181" i="2"/>
  <c r="K186" i="2"/>
  <c r="K6" i="2"/>
  <c r="K12" i="2"/>
  <c r="K17" i="2"/>
  <c r="K22" i="2"/>
  <c r="K28" i="2"/>
  <c r="K33" i="2"/>
  <c r="K38" i="2"/>
  <c r="K44" i="2"/>
  <c r="K49" i="2"/>
  <c r="K54" i="2"/>
  <c r="K60" i="2"/>
  <c r="K65" i="2"/>
  <c r="K70" i="2"/>
  <c r="K76" i="2"/>
  <c r="K81" i="2"/>
  <c r="K86" i="2"/>
  <c r="K92" i="2"/>
  <c r="K97" i="2"/>
  <c r="K102" i="2"/>
  <c r="K108" i="2"/>
  <c r="K113" i="2"/>
  <c r="K118" i="2"/>
  <c r="K124" i="2"/>
  <c r="K129" i="2"/>
  <c r="K134" i="2"/>
  <c r="K140" i="2"/>
  <c r="K145" i="2"/>
  <c r="K150" i="2"/>
  <c r="K156" i="2"/>
  <c r="K161" i="2"/>
  <c r="K166" i="2"/>
  <c r="K172" i="2"/>
  <c r="K177" i="2"/>
  <c r="K182" i="2"/>
  <c r="K188" i="2"/>
  <c r="K8" i="2"/>
  <c r="K13" i="2"/>
  <c r="K18" i="2"/>
  <c r="K24" i="2"/>
  <c r="K29" i="2"/>
  <c r="K34" i="2"/>
  <c r="K40" i="2"/>
  <c r="K45" i="2"/>
  <c r="K50" i="2"/>
  <c r="K56" i="2"/>
  <c r="K61" i="2"/>
  <c r="K66" i="2"/>
  <c r="K72" i="2"/>
  <c r="K77" i="2"/>
  <c r="K82" i="2"/>
  <c r="K88" i="2"/>
  <c r="K93" i="2"/>
  <c r="K98" i="2"/>
  <c r="K104" i="2"/>
  <c r="K109" i="2"/>
  <c r="K114" i="2"/>
  <c r="K120" i="2"/>
  <c r="K125" i="2"/>
  <c r="K130" i="2"/>
  <c r="K136" i="2"/>
  <c r="K141" i="2"/>
  <c r="K146" i="2"/>
  <c r="K152" i="2"/>
  <c r="K157" i="2"/>
  <c r="K162" i="2"/>
  <c r="K168" i="2"/>
  <c r="K173" i="2"/>
  <c r="K178" i="2"/>
  <c r="K184" i="2"/>
  <c r="K189" i="2"/>
  <c r="K194" i="2"/>
  <c r="K200" i="2"/>
  <c r="K205" i="2"/>
  <c r="K210" i="2"/>
  <c r="K216" i="2"/>
  <c r="K221" i="2"/>
  <c r="K226" i="2"/>
  <c r="K232" i="2"/>
  <c r="K237" i="2"/>
  <c r="K242" i="2"/>
  <c r="K248" i="2"/>
  <c r="K253" i="2"/>
  <c r="K258" i="2"/>
  <c r="K264" i="2"/>
  <c r="K269" i="2"/>
  <c r="K274" i="2"/>
  <c r="K280" i="2"/>
  <c r="K285" i="2"/>
  <c r="K290" i="2"/>
  <c r="K296" i="2"/>
  <c r="K301" i="2"/>
  <c r="K306" i="2"/>
  <c r="K312" i="2"/>
  <c r="K317" i="2"/>
  <c r="K322" i="2"/>
  <c r="K326" i="2"/>
  <c r="K330" i="2"/>
  <c r="K334" i="2"/>
  <c r="K338" i="2"/>
  <c r="K342" i="2"/>
  <c r="K346" i="2"/>
  <c r="K350" i="2"/>
  <c r="K354" i="2"/>
  <c r="K358" i="2"/>
  <c r="K362" i="2"/>
  <c r="K366" i="2"/>
  <c r="K370" i="2"/>
  <c r="K374" i="2"/>
  <c r="K378" i="2"/>
  <c r="K382" i="2"/>
  <c r="K386" i="2"/>
  <c r="K390" i="2"/>
  <c r="K394" i="2"/>
  <c r="K398" i="2"/>
  <c r="K402" i="2"/>
  <c r="K406" i="2"/>
  <c r="K410" i="2"/>
  <c r="K414" i="2"/>
  <c r="K14" i="2"/>
  <c r="K36" i="2"/>
  <c r="K57" i="2"/>
  <c r="K78" i="2"/>
  <c r="K100" i="2"/>
  <c r="K121" i="2"/>
  <c r="K142" i="2"/>
  <c r="K164" i="2"/>
  <c r="K185" i="2"/>
  <c r="K196" i="2"/>
  <c r="K202" i="2"/>
  <c r="K209" i="2"/>
  <c r="K217" i="2"/>
  <c r="K224" i="2"/>
  <c r="K230" i="2"/>
  <c r="K238" i="2"/>
  <c r="K245" i="2"/>
  <c r="K252" i="2"/>
  <c r="K260" i="2"/>
  <c r="K266" i="2"/>
  <c r="K273" i="2"/>
  <c r="K281" i="2"/>
  <c r="K288" i="2"/>
  <c r="K294" i="2"/>
  <c r="K302" i="2"/>
  <c r="K309" i="2"/>
  <c r="K316" i="2"/>
  <c r="K323" i="2"/>
  <c r="K328" i="2"/>
  <c r="K333" i="2"/>
  <c r="K339" i="2"/>
  <c r="K344" i="2"/>
  <c r="K349" i="2"/>
  <c r="K355" i="2"/>
  <c r="K360" i="2"/>
  <c r="K365" i="2"/>
  <c r="K371" i="2"/>
  <c r="K376" i="2"/>
  <c r="K381" i="2"/>
  <c r="K387" i="2"/>
  <c r="K392" i="2"/>
  <c r="K397" i="2"/>
  <c r="K403" i="2"/>
  <c r="K408" i="2"/>
  <c r="K413" i="2"/>
  <c r="K418" i="2"/>
  <c r="K422" i="2"/>
  <c r="K426" i="2"/>
  <c r="K430" i="2"/>
  <c r="K434" i="2"/>
  <c r="K438" i="2"/>
  <c r="K442" i="2"/>
  <c r="K446" i="2"/>
  <c r="K450" i="2"/>
  <c r="K454" i="2"/>
  <c r="K458" i="2"/>
  <c r="K462" i="2"/>
  <c r="K466" i="2"/>
  <c r="K470" i="2"/>
  <c r="K474" i="2"/>
  <c r="K478" i="2"/>
  <c r="K482" i="2"/>
  <c r="K486" i="2"/>
  <c r="K490" i="2"/>
  <c r="K494" i="2"/>
  <c r="K498" i="2"/>
  <c r="K502" i="2"/>
  <c r="K506" i="2"/>
  <c r="K510" i="2"/>
  <c r="K514" i="2"/>
  <c r="K518" i="2"/>
  <c r="K522" i="2"/>
  <c r="K526" i="2"/>
  <c r="K530" i="2"/>
  <c r="K534" i="2"/>
  <c r="K538" i="2"/>
  <c r="K542" i="2"/>
  <c r="K546" i="2"/>
  <c r="K550" i="2"/>
  <c r="K554" i="2"/>
  <c r="K558" i="2"/>
  <c r="K562" i="2"/>
  <c r="K566" i="2"/>
  <c r="K570" i="2"/>
  <c r="K574" i="2"/>
  <c r="K20" i="2"/>
  <c r="K41" i="2"/>
  <c r="K62" i="2"/>
  <c r="K84" i="2"/>
  <c r="K105" i="2"/>
  <c r="K126" i="2"/>
  <c r="K148" i="2"/>
  <c r="K169" i="2"/>
  <c r="K190" i="2"/>
  <c r="K197" i="2"/>
  <c r="K204" i="2"/>
  <c r="K212" i="2"/>
  <c r="K218" i="2"/>
  <c r="K225" i="2"/>
  <c r="K233" i="2"/>
  <c r="K240" i="2"/>
  <c r="K246" i="2"/>
  <c r="K254" i="2"/>
  <c r="K261" i="2"/>
  <c r="K268" i="2"/>
  <c r="K276" i="2"/>
  <c r="K282" i="2"/>
  <c r="K289" i="2"/>
  <c r="K297" i="2"/>
  <c r="K304" i="2"/>
  <c r="K310" i="2"/>
  <c r="K318" i="2"/>
  <c r="K324" i="2"/>
  <c r="K329" i="2"/>
  <c r="K335" i="2"/>
  <c r="K340" i="2"/>
  <c r="K345" i="2"/>
  <c r="K351" i="2"/>
  <c r="K356" i="2"/>
  <c r="K361" i="2"/>
  <c r="K367" i="2"/>
  <c r="K372" i="2"/>
  <c r="K377" i="2"/>
  <c r="K383" i="2"/>
  <c r="K388" i="2"/>
  <c r="K393" i="2"/>
  <c r="K399" i="2"/>
  <c r="K404" i="2"/>
  <c r="K409" i="2"/>
  <c r="K415" i="2"/>
  <c r="K419" i="2"/>
  <c r="K423" i="2"/>
  <c r="K427" i="2"/>
  <c r="K431" i="2"/>
  <c r="K435" i="2"/>
  <c r="K439" i="2"/>
  <c r="K443" i="2"/>
  <c r="K447" i="2"/>
  <c r="K451" i="2"/>
  <c r="K455" i="2"/>
  <c r="K459" i="2"/>
  <c r="K463" i="2"/>
  <c r="K467" i="2"/>
  <c r="K471" i="2"/>
  <c r="K475" i="2"/>
  <c r="K479" i="2"/>
  <c r="K483" i="2"/>
  <c r="K487" i="2"/>
  <c r="K491" i="2"/>
  <c r="K495" i="2"/>
  <c r="K499" i="2"/>
  <c r="K503" i="2"/>
  <c r="K507" i="2"/>
  <c r="K511" i="2"/>
  <c r="K515" i="2"/>
  <c r="K519" i="2"/>
  <c r="K523" i="2"/>
  <c r="K527" i="2"/>
  <c r="K531" i="2"/>
  <c r="K535" i="2"/>
  <c r="K539" i="2"/>
  <c r="K543" i="2"/>
  <c r="K547" i="2"/>
  <c r="K551" i="2"/>
  <c r="K555" i="2"/>
  <c r="K559" i="2"/>
  <c r="K563" i="2"/>
  <c r="K567" i="2"/>
  <c r="K571" i="2"/>
  <c r="K575" i="2"/>
  <c r="K4" i="2"/>
  <c r="K25" i="2"/>
  <c r="K46" i="2"/>
  <c r="K68" i="2"/>
  <c r="K89" i="2"/>
  <c r="K110" i="2"/>
  <c r="K132" i="2"/>
  <c r="K153" i="2"/>
  <c r="K174" i="2"/>
  <c r="K192" i="2"/>
  <c r="K198" i="2"/>
  <c r="K206" i="2"/>
  <c r="K213" i="2"/>
  <c r="K220" i="2"/>
  <c r="K228" i="2"/>
  <c r="K234" i="2"/>
  <c r="K241" i="2"/>
  <c r="K249" i="2"/>
  <c r="K256" i="2"/>
  <c r="K262" i="2"/>
  <c r="K270" i="2"/>
  <c r="K277" i="2"/>
  <c r="K284" i="2"/>
  <c r="K292" i="2"/>
  <c r="K298" i="2"/>
  <c r="K305" i="2"/>
  <c r="K313" i="2"/>
  <c r="K320" i="2"/>
  <c r="K325" i="2"/>
  <c r="K331" i="2"/>
  <c r="K336" i="2"/>
  <c r="K341" i="2"/>
  <c r="K347" i="2"/>
  <c r="K352" i="2"/>
  <c r="K357" i="2"/>
  <c r="K363" i="2"/>
  <c r="K368" i="2"/>
  <c r="K373" i="2"/>
  <c r="K379" i="2"/>
  <c r="K384" i="2"/>
  <c r="K389" i="2"/>
  <c r="K395" i="2"/>
  <c r="K400" i="2"/>
  <c r="K405" i="2"/>
  <c r="K411" i="2"/>
  <c r="K416" i="2"/>
  <c r="K420" i="2"/>
  <c r="K424" i="2"/>
  <c r="K428" i="2"/>
  <c r="K432" i="2"/>
  <c r="K436" i="2"/>
  <c r="K440" i="2"/>
  <c r="K444" i="2"/>
  <c r="K448" i="2"/>
  <c r="K452" i="2"/>
  <c r="K456" i="2"/>
  <c r="K460" i="2"/>
  <c r="K464" i="2"/>
  <c r="K468" i="2"/>
  <c r="K472" i="2"/>
  <c r="K476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588" i="2"/>
  <c r="K592" i="2"/>
  <c r="K596" i="2"/>
  <c r="K600" i="2"/>
  <c r="K604" i="2"/>
  <c r="K608" i="2"/>
  <c r="K73" i="2"/>
  <c r="K158" i="2"/>
  <c r="K208" i="2"/>
  <c r="K236" i="2"/>
  <c r="K265" i="2"/>
  <c r="K293" i="2"/>
  <c r="K321" i="2"/>
  <c r="K343" i="2"/>
  <c r="K364" i="2"/>
  <c r="K385" i="2"/>
  <c r="K407" i="2"/>
  <c r="K425" i="2"/>
  <c r="K441" i="2"/>
  <c r="K457" i="2"/>
  <c r="K473" i="2"/>
  <c r="K489" i="2"/>
  <c r="K505" i="2"/>
  <c r="K521" i="2"/>
  <c r="K537" i="2"/>
  <c r="K553" i="2"/>
  <c r="K569" i="2"/>
  <c r="K579" i="2"/>
  <c r="K585" i="2"/>
  <c r="K590" i="2"/>
  <c r="K595" i="2"/>
  <c r="K601" i="2"/>
  <c r="K606" i="2"/>
  <c r="K611" i="2"/>
  <c r="K615" i="2"/>
  <c r="K619" i="2"/>
  <c r="K623" i="2"/>
  <c r="K627" i="2"/>
  <c r="K631" i="2"/>
  <c r="K635" i="2"/>
  <c r="K639" i="2"/>
  <c r="K643" i="2"/>
  <c r="K647" i="2"/>
  <c r="K651" i="2"/>
  <c r="K655" i="2"/>
  <c r="K659" i="2"/>
  <c r="K663" i="2"/>
  <c r="K667" i="2"/>
  <c r="K671" i="2"/>
  <c r="K675" i="2"/>
  <c r="K679" i="2"/>
  <c r="K683" i="2"/>
  <c r="K687" i="2"/>
  <c r="K691" i="2"/>
  <c r="K695" i="2"/>
  <c r="K699" i="2"/>
  <c r="K703" i="2"/>
  <c r="K707" i="2"/>
  <c r="K711" i="2"/>
  <c r="K715" i="2"/>
  <c r="K719" i="2"/>
  <c r="K723" i="2"/>
  <c r="K727" i="2"/>
  <c r="K731" i="2"/>
  <c r="K735" i="2"/>
  <c r="K739" i="2"/>
  <c r="K743" i="2"/>
  <c r="K747" i="2"/>
  <c r="K751" i="2"/>
  <c r="K755" i="2"/>
  <c r="K759" i="2"/>
  <c r="K763" i="2"/>
  <c r="K767" i="2"/>
  <c r="K771" i="2"/>
  <c r="K775" i="2"/>
  <c r="K779" i="2"/>
  <c r="K783" i="2"/>
  <c r="K787" i="2"/>
  <c r="K791" i="2"/>
  <c r="K795" i="2"/>
  <c r="K799" i="2"/>
  <c r="K803" i="2"/>
  <c r="K807" i="2"/>
  <c r="K811" i="2"/>
  <c r="K815" i="2"/>
  <c r="K819" i="2"/>
  <c r="K823" i="2"/>
  <c r="K827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895" i="2"/>
  <c r="K899" i="2"/>
  <c r="K903" i="2"/>
  <c r="K907" i="2"/>
  <c r="K911" i="2"/>
  <c r="K915" i="2"/>
  <c r="K919" i="2"/>
  <c r="K923" i="2"/>
  <c r="K927" i="2"/>
  <c r="K931" i="2"/>
  <c r="K935" i="2"/>
  <c r="K939" i="2"/>
  <c r="K943" i="2"/>
  <c r="K947" i="2"/>
  <c r="K951" i="2"/>
  <c r="K955" i="2"/>
  <c r="K959" i="2"/>
  <c r="K963" i="2"/>
  <c r="K967" i="2"/>
  <c r="K971" i="2"/>
  <c r="K975" i="2"/>
  <c r="K979" i="2"/>
  <c r="K983" i="2"/>
  <c r="K987" i="2"/>
  <c r="K991" i="2"/>
  <c r="K995" i="2"/>
  <c r="K999" i="2"/>
  <c r="K1003" i="2"/>
  <c r="K1007" i="2"/>
  <c r="K1011" i="2"/>
  <c r="K1015" i="2"/>
  <c r="K1019" i="2"/>
  <c r="K1023" i="2"/>
  <c r="K1027" i="2"/>
  <c r="K1031" i="2"/>
  <c r="K1035" i="2"/>
  <c r="K1039" i="2"/>
  <c r="K1043" i="2"/>
  <c r="K1047" i="2"/>
  <c r="K1051" i="2"/>
  <c r="K1055" i="2"/>
  <c r="K1059" i="2"/>
  <c r="K1063" i="2"/>
  <c r="K1067" i="2"/>
  <c r="K1071" i="2"/>
  <c r="K1075" i="2"/>
  <c r="K1079" i="2"/>
  <c r="K1083" i="2"/>
  <c r="K1087" i="2"/>
  <c r="K1091" i="2"/>
  <c r="K1095" i="2"/>
  <c r="K1099" i="2"/>
  <c r="K1103" i="2"/>
  <c r="K1107" i="2"/>
  <c r="K1111" i="2"/>
  <c r="K1115" i="2"/>
  <c r="K1119" i="2"/>
  <c r="K1123" i="2"/>
  <c r="K1127" i="2"/>
  <c r="K1131" i="2"/>
  <c r="K1135" i="2"/>
  <c r="K1139" i="2"/>
  <c r="K1143" i="2"/>
  <c r="K1147" i="2"/>
  <c r="K1151" i="2"/>
  <c r="K1155" i="2"/>
  <c r="K1159" i="2"/>
  <c r="K1163" i="2"/>
  <c r="K1167" i="2"/>
  <c r="K1171" i="2"/>
  <c r="K1175" i="2"/>
  <c r="K9" i="2"/>
  <c r="K94" i="2"/>
  <c r="K180" i="2"/>
  <c r="K214" i="2"/>
  <c r="K244" i="2"/>
  <c r="K272" i="2"/>
  <c r="K300" i="2"/>
  <c r="K327" i="2"/>
  <c r="K348" i="2"/>
  <c r="K369" i="2"/>
  <c r="K391" i="2"/>
  <c r="K412" i="2"/>
  <c r="K429" i="2"/>
  <c r="K445" i="2"/>
  <c r="K461" i="2"/>
  <c r="K477" i="2"/>
  <c r="K493" i="2"/>
  <c r="K509" i="2"/>
  <c r="K525" i="2"/>
  <c r="K541" i="2"/>
  <c r="K557" i="2"/>
  <c r="K573" i="2"/>
  <c r="K581" i="2"/>
  <c r="K586" i="2"/>
  <c r="K591" i="2"/>
  <c r="K597" i="2"/>
  <c r="K602" i="2"/>
  <c r="K607" i="2"/>
  <c r="K612" i="2"/>
  <c r="K616" i="2"/>
  <c r="K620" i="2"/>
  <c r="K624" i="2"/>
  <c r="K628" i="2"/>
  <c r="K632" i="2"/>
  <c r="K636" i="2"/>
  <c r="K640" i="2"/>
  <c r="K644" i="2"/>
  <c r="K648" i="2"/>
  <c r="K652" i="2"/>
  <c r="K656" i="2"/>
  <c r="K660" i="2"/>
  <c r="K664" i="2"/>
  <c r="K668" i="2"/>
  <c r="K672" i="2"/>
  <c r="K676" i="2"/>
  <c r="K680" i="2"/>
  <c r="K684" i="2"/>
  <c r="K688" i="2"/>
  <c r="K692" i="2"/>
  <c r="K696" i="2"/>
  <c r="K700" i="2"/>
  <c r="K704" i="2"/>
  <c r="K708" i="2"/>
  <c r="K712" i="2"/>
  <c r="K716" i="2"/>
  <c r="K720" i="2"/>
  <c r="K724" i="2"/>
  <c r="K728" i="2"/>
  <c r="K732" i="2"/>
  <c r="K736" i="2"/>
  <c r="K740" i="2"/>
  <c r="K744" i="2"/>
  <c r="K748" i="2"/>
  <c r="K752" i="2"/>
  <c r="K756" i="2"/>
  <c r="K760" i="2"/>
  <c r="K764" i="2"/>
  <c r="K768" i="2"/>
  <c r="K772" i="2"/>
  <c r="K776" i="2"/>
  <c r="K780" i="2"/>
  <c r="K784" i="2"/>
  <c r="K788" i="2"/>
  <c r="K792" i="2"/>
  <c r="K796" i="2"/>
  <c r="K800" i="2"/>
  <c r="K804" i="2"/>
  <c r="K808" i="2"/>
  <c r="K812" i="2"/>
  <c r="K816" i="2"/>
  <c r="K820" i="2"/>
  <c r="K824" i="2"/>
  <c r="K828" i="2"/>
  <c r="K832" i="2"/>
  <c r="K836" i="2"/>
  <c r="K840" i="2"/>
  <c r="K844" i="2"/>
  <c r="K848" i="2"/>
  <c r="K852" i="2"/>
  <c r="K856" i="2"/>
  <c r="K860" i="2"/>
  <c r="K864" i="2"/>
  <c r="K868" i="2"/>
  <c r="K872" i="2"/>
  <c r="K876" i="2"/>
  <c r="K880" i="2"/>
  <c r="K884" i="2"/>
  <c r="K888" i="2"/>
  <c r="K892" i="2"/>
  <c r="K896" i="2"/>
  <c r="K900" i="2"/>
  <c r="K904" i="2"/>
  <c r="K908" i="2"/>
  <c r="K912" i="2"/>
  <c r="K916" i="2"/>
  <c r="K920" i="2"/>
  <c r="K924" i="2"/>
  <c r="K928" i="2"/>
  <c r="K932" i="2"/>
  <c r="K936" i="2"/>
  <c r="K940" i="2"/>
  <c r="K944" i="2"/>
  <c r="K948" i="2"/>
  <c r="K952" i="2"/>
  <c r="K956" i="2"/>
  <c r="K960" i="2"/>
  <c r="K964" i="2"/>
  <c r="K968" i="2"/>
  <c r="K972" i="2"/>
  <c r="K976" i="2"/>
  <c r="K980" i="2"/>
  <c r="K984" i="2"/>
  <c r="K988" i="2"/>
  <c r="K992" i="2"/>
  <c r="K996" i="2"/>
  <c r="K1000" i="2"/>
  <c r="K1004" i="2"/>
  <c r="K1008" i="2"/>
  <c r="K1012" i="2"/>
  <c r="K1016" i="2"/>
  <c r="K1020" i="2"/>
  <c r="K1024" i="2"/>
  <c r="K1028" i="2"/>
  <c r="K1032" i="2"/>
  <c r="K1036" i="2"/>
  <c r="K1040" i="2"/>
  <c r="K1044" i="2"/>
  <c r="K1048" i="2"/>
  <c r="K1052" i="2"/>
  <c r="K1056" i="2"/>
  <c r="K1060" i="2"/>
  <c r="K1064" i="2"/>
  <c r="K1068" i="2"/>
  <c r="K1072" i="2"/>
  <c r="K1076" i="2"/>
  <c r="K1080" i="2"/>
  <c r="K1084" i="2"/>
  <c r="K1088" i="2"/>
  <c r="K1092" i="2"/>
  <c r="K1096" i="2"/>
  <c r="K1100" i="2"/>
  <c r="K1104" i="2"/>
  <c r="K1108" i="2"/>
  <c r="K1112" i="2"/>
  <c r="K1116" i="2"/>
  <c r="K1120" i="2"/>
  <c r="K1124" i="2"/>
  <c r="K1128" i="2"/>
  <c r="K30" i="2"/>
  <c r="K116" i="2"/>
  <c r="K193" i="2"/>
  <c r="K222" i="2"/>
  <c r="K250" i="2"/>
  <c r="K278" i="2"/>
  <c r="K308" i="2"/>
  <c r="K332" i="2"/>
  <c r="K353" i="2"/>
  <c r="K375" i="2"/>
  <c r="K396" i="2"/>
  <c r="K417" i="2"/>
  <c r="K433" i="2"/>
  <c r="K449" i="2"/>
  <c r="K465" i="2"/>
  <c r="K481" i="2"/>
  <c r="K497" i="2"/>
  <c r="K513" i="2"/>
  <c r="K529" i="2"/>
  <c r="K545" i="2"/>
  <c r="K561" i="2"/>
  <c r="K577" i="2"/>
  <c r="K582" i="2"/>
  <c r="K587" i="2"/>
  <c r="K593" i="2"/>
  <c r="K598" i="2"/>
  <c r="K603" i="2"/>
  <c r="K609" i="2"/>
  <c r="K613" i="2"/>
  <c r="K617" i="2"/>
  <c r="K621" i="2"/>
  <c r="K625" i="2"/>
  <c r="K629" i="2"/>
  <c r="K633" i="2"/>
  <c r="K637" i="2"/>
  <c r="K641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701" i="2"/>
  <c r="K705" i="2"/>
  <c r="K709" i="2"/>
  <c r="K713" i="2"/>
  <c r="K717" i="2"/>
  <c r="K721" i="2"/>
  <c r="K725" i="2"/>
  <c r="K729" i="2"/>
  <c r="K733" i="2"/>
  <c r="K737" i="2"/>
  <c r="K741" i="2"/>
  <c r="K745" i="2"/>
  <c r="K749" i="2"/>
  <c r="K753" i="2"/>
  <c r="K757" i="2"/>
  <c r="K761" i="2"/>
  <c r="K765" i="2"/>
  <c r="K769" i="2"/>
  <c r="K773" i="2"/>
  <c r="K777" i="2"/>
  <c r="K781" i="2"/>
  <c r="K785" i="2"/>
  <c r="K789" i="2"/>
  <c r="K793" i="2"/>
  <c r="K797" i="2"/>
  <c r="K801" i="2"/>
  <c r="K805" i="2"/>
  <c r="K809" i="2"/>
  <c r="K813" i="2"/>
  <c r="K817" i="2"/>
  <c r="K821" i="2"/>
  <c r="K825" i="2"/>
  <c r="K829" i="2"/>
  <c r="K833" i="2"/>
  <c r="K837" i="2"/>
  <c r="K841" i="2"/>
  <c r="K845" i="2"/>
  <c r="K849" i="2"/>
  <c r="K853" i="2"/>
  <c r="K857" i="2"/>
  <c r="K861" i="2"/>
  <c r="K865" i="2"/>
  <c r="K869" i="2"/>
  <c r="K873" i="2"/>
  <c r="K877" i="2"/>
  <c r="K881" i="2"/>
  <c r="K885" i="2"/>
  <c r="K889" i="2"/>
  <c r="K893" i="2"/>
  <c r="K897" i="2"/>
  <c r="K901" i="2"/>
  <c r="K905" i="2"/>
  <c r="K909" i="2"/>
  <c r="K913" i="2"/>
  <c r="K917" i="2"/>
  <c r="K921" i="2"/>
  <c r="K925" i="2"/>
  <c r="K929" i="2"/>
  <c r="K933" i="2"/>
  <c r="K937" i="2"/>
  <c r="K941" i="2"/>
  <c r="K945" i="2"/>
  <c r="K949" i="2"/>
  <c r="K953" i="2"/>
  <c r="K957" i="2"/>
  <c r="K961" i="2"/>
  <c r="K965" i="2"/>
  <c r="K969" i="2"/>
  <c r="K973" i="2"/>
  <c r="K977" i="2"/>
  <c r="K981" i="2"/>
  <c r="K985" i="2"/>
  <c r="K989" i="2"/>
  <c r="K993" i="2"/>
  <c r="K997" i="2"/>
  <c r="K1001" i="2"/>
  <c r="K1005" i="2"/>
  <c r="K1009" i="2"/>
  <c r="K1013" i="2"/>
  <c r="K1017" i="2"/>
  <c r="K1021" i="2"/>
  <c r="K1025" i="2"/>
  <c r="K1029" i="2"/>
  <c r="K1033" i="2"/>
  <c r="K1037" i="2"/>
  <c r="K1041" i="2"/>
  <c r="K1045" i="2"/>
  <c r="K1049" i="2"/>
  <c r="K1053" i="2"/>
  <c r="K1057" i="2"/>
  <c r="K1061" i="2"/>
  <c r="K1065" i="2"/>
  <c r="K1069" i="2"/>
  <c r="K1073" i="2"/>
  <c r="K1077" i="2"/>
  <c r="K1081" i="2"/>
  <c r="K1085" i="2"/>
  <c r="K1089" i="2"/>
  <c r="K1093" i="2"/>
  <c r="K1097" i="2"/>
  <c r="K1101" i="2"/>
  <c r="K1105" i="2"/>
  <c r="K1109" i="2"/>
  <c r="K1113" i="2"/>
  <c r="K1117" i="2"/>
  <c r="K1121" i="2"/>
  <c r="K1125" i="2"/>
  <c r="K1129" i="2"/>
  <c r="K1133" i="2"/>
  <c r="K1137" i="2"/>
  <c r="K1141" i="2"/>
  <c r="K1145" i="2"/>
  <c r="K1149" i="2"/>
  <c r="K1153" i="2"/>
  <c r="K1157" i="2"/>
  <c r="K1161" i="2"/>
  <c r="K1165" i="2"/>
  <c r="K1169" i="2"/>
  <c r="K1173" i="2"/>
  <c r="K1177" i="2"/>
  <c r="K1257" i="2"/>
  <c r="K1253" i="2"/>
  <c r="K1249" i="2"/>
  <c r="K1245" i="2"/>
  <c r="K1241" i="2"/>
  <c r="K1237" i="2"/>
  <c r="K1233" i="2"/>
  <c r="K1229" i="2"/>
  <c r="K1225" i="2"/>
  <c r="K1221" i="2"/>
  <c r="K1217" i="2"/>
  <c r="K1213" i="2"/>
  <c r="K1209" i="2"/>
  <c r="K1205" i="2"/>
  <c r="K1201" i="2"/>
  <c r="K1197" i="2"/>
  <c r="K1193" i="2"/>
  <c r="K1189" i="2"/>
  <c r="K1185" i="2"/>
  <c r="K1181" i="2"/>
  <c r="K1176" i="2"/>
  <c r="K1168" i="2"/>
  <c r="K1160" i="2"/>
  <c r="K1152" i="2"/>
  <c r="K1144" i="2"/>
  <c r="K1136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4" i="2"/>
  <c r="K565" i="2"/>
  <c r="K501" i="2"/>
  <c r="K437" i="2"/>
  <c r="K359" i="2"/>
  <c r="K257" i="2"/>
  <c r="K52" i="2"/>
  <c r="K1255" i="2"/>
  <c r="K1247" i="2"/>
  <c r="K1239" i="2"/>
  <c r="K1231" i="2"/>
  <c r="K1223" i="2"/>
  <c r="K1215" i="2"/>
  <c r="K1207" i="2"/>
  <c r="K1199" i="2"/>
  <c r="K1195" i="2"/>
  <c r="K1183" i="2"/>
  <c r="K926" i="2"/>
  <c r="K1256" i="2"/>
  <c r="K1252" i="2"/>
  <c r="K1248" i="2"/>
  <c r="K1244" i="2"/>
  <c r="K1240" i="2"/>
  <c r="K1236" i="2"/>
  <c r="K1232" i="2"/>
  <c r="K1228" i="2"/>
  <c r="K1224" i="2"/>
  <c r="K1220" i="2"/>
  <c r="K1216" i="2"/>
  <c r="K1212" i="2"/>
  <c r="K1208" i="2"/>
  <c r="K1204" i="2"/>
  <c r="K1200" i="2"/>
  <c r="K1196" i="2"/>
  <c r="K1192" i="2"/>
  <c r="K1188" i="2"/>
  <c r="K1184" i="2"/>
  <c r="K1180" i="2"/>
  <c r="K1174" i="2"/>
  <c r="K1166" i="2"/>
  <c r="K1158" i="2"/>
  <c r="K1150" i="2"/>
  <c r="K1142" i="2"/>
  <c r="K1134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89" i="2"/>
  <c r="K549" i="2"/>
  <c r="K485" i="2"/>
  <c r="K421" i="2"/>
  <c r="K337" i="2"/>
  <c r="K229" i="2"/>
  <c r="K103" i="2" l="1"/>
  <c r="K87" i="2"/>
  <c r="K71" i="2"/>
  <c r="K55" i="2"/>
  <c r="K39" i="2"/>
  <c r="K23" i="2"/>
  <c r="K7" i="2"/>
  <c r="K453" i="2"/>
  <c r="K618" i="2"/>
  <c r="K682" i="2"/>
  <c r="K746" i="2"/>
  <c r="K810" i="2"/>
  <c r="K874" i="2"/>
  <c r="K938" i="2"/>
  <c r="K1002" i="2"/>
  <c r="K1066" i="2"/>
  <c r="K1130" i="2"/>
  <c r="K1162" i="2"/>
  <c r="K1186" i="2"/>
  <c r="K1202" i="2"/>
  <c r="K1218" i="2"/>
  <c r="K1234" i="2"/>
  <c r="K1250" i="2"/>
  <c r="K314" i="2"/>
  <c r="K583" i="2"/>
  <c r="K654" i="2"/>
  <c r="K718" i="2"/>
  <c r="K782" i="2"/>
  <c r="K846" i="2"/>
  <c r="K910" i="2"/>
  <c r="K990" i="2"/>
  <c r="K1054" i="2"/>
  <c r="K1118" i="2"/>
  <c r="K1156" i="2"/>
  <c r="K1187" i="2"/>
  <c r="K1219" i="2"/>
  <c r="P3" i="2"/>
  <c r="P4" i="2" s="1"/>
  <c r="Q3" i="2"/>
  <c r="Q4" i="2" s="1"/>
  <c r="O3" i="2"/>
  <c r="O4" i="2" s="1"/>
  <c r="K3" i="2"/>
  <c r="K517" i="2"/>
  <c r="K634" i="2"/>
  <c r="K698" i="2"/>
  <c r="K762" i="2"/>
  <c r="K826" i="2"/>
  <c r="K890" i="2"/>
  <c r="K954" i="2"/>
  <c r="K1018" i="2"/>
  <c r="K1082" i="2"/>
  <c r="K1138" i="2"/>
  <c r="K1170" i="2"/>
  <c r="K1190" i="2"/>
  <c r="K1206" i="2"/>
  <c r="K1222" i="2"/>
  <c r="K1238" i="2"/>
  <c r="K1254" i="2"/>
  <c r="K401" i="2"/>
  <c r="K605" i="2"/>
  <c r="K670" i="2"/>
  <c r="K734" i="2"/>
  <c r="K798" i="2"/>
  <c r="K862" i="2"/>
  <c r="K942" i="2"/>
  <c r="K1006" i="2"/>
  <c r="K1070" i="2"/>
  <c r="K1132" i="2"/>
  <c r="K1164" i="2"/>
  <c r="K1191" i="2"/>
  <c r="K1227" i="2"/>
  <c r="K1259" i="2"/>
  <c r="K111" i="2"/>
  <c r="K95" i="2"/>
  <c r="K79" i="2"/>
  <c r="K63" i="2"/>
  <c r="K47" i="2"/>
  <c r="K31" i="2"/>
  <c r="K15" i="2"/>
  <c r="K286" i="2"/>
  <c r="K578" i="2"/>
  <c r="K650" i="2"/>
  <c r="K714" i="2"/>
  <c r="K778" i="2"/>
  <c r="K842" i="2"/>
  <c r="K906" i="2"/>
  <c r="K970" i="2"/>
  <c r="K1034" i="2"/>
  <c r="K1098" i="2"/>
  <c r="K1146" i="2"/>
  <c r="K1178" i="2"/>
  <c r="K1194" i="2"/>
  <c r="K1210" i="2"/>
  <c r="K1226" i="2"/>
  <c r="K1242" i="2"/>
  <c r="K1258" i="2"/>
  <c r="K469" i="2"/>
  <c r="K622" i="2"/>
  <c r="K686" i="2"/>
  <c r="K750" i="2"/>
  <c r="K814" i="2"/>
  <c r="K878" i="2"/>
  <c r="K958" i="2"/>
  <c r="K1022" i="2"/>
  <c r="K1086" i="2"/>
  <c r="K1140" i="2"/>
  <c r="K1172" i="2"/>
  <c r="K1203" i="2"/>
  <c r="K1235" i="2"/>
  <c r="K137" i="2"/>
  <c r="O5" i="2" l="1"/>
  <c r="P5" i="2"/>
  <c r="Q5" i="2"/>
  <c r="Q7" i="2" l="1"/>
  <c r="Q8" i="2"/>
  <c r="Q6" i="2" a="1"/>
  <c r="Q6" i="2" s="1"/>
  <c r="Q9" i="2" s="1"/>
  <c r="P8" i="2"/>
  <c r="P7" i="2"/>
  <c r="P6" i="2" a="1"/>
  <c r="P6" i="2" s="1"/>
  <c r="P9" i="2" s="1"/>
  <c r="O7" i="2"/>
  <c r="O8" i="2"/>
  <c r="O6" i="2" a="1"/>
  <c r="O6" i="2" s="1"/>
  <c r="O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2388F-7006-4E71-8BA5-44CEA1683433}" keepAlive="1" name="Query - NFLX_historical_data" description="Connection to the 'NFLX_historical_data' query in the workbook." type="5" refreshedVersion="8" background="1" saveData="1">
    <dbPr connection="Provider=Microsoft.Mashup.OleDb.1;Data Source=$Workbook$;Location=NFLX_historical_data;Extended Properties=&quot;&quot;" command="SELECT * FROM [NFLX_historical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<sst xmlns="http://schemas.openxmlformats.org/spreadsheetml/2006/main" count="27" uniqueCount="26">
  <si>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Date</t>
  </si>
  <si>
    <t>Open</t>
  </si>
  <si>
    <t>High</t>
  </si>
  <si>
    <t>Low</t>
  </si>
  <si>
    <t>Close</t>
  </si>
  <si>
    <t>Adj Close</t>
  </si>
  <si>
    <t>Volume</t>
  </si>
  <si>
    <t>Returns</t>
  </si>
  <si>
    <t>Ranked Return</t>
  </si>
  <si>
    <t>Rank</t>
  </si>
  <si>
    <t>P</t>
  </si>
  <si>
    <t>Location</t>
  </si>
  <si>
    <t>Probability Level</t>
  </si>
  <si>
    <t>Numeric Count</t>
  </si>
  <si>
    <t>Count</t>
  </si>
  <si>
    <t>Location of 5% VaR=P*Count</t>
  </si>
  <si>
    <t>VaR(P)</t>
  </si>
  <si>
    <t>Ranked Return Corresponding to Location</t>
  </si>
  <si>
    <t>CVaR(P)</t>
  </si>
  <si>
    <t>At a 5% Probability level,for within a daily period,there is a 5% chance that the stock could loss more than 3.848%</t>
  </si>
  <si>
    <t>If the VaR is exceeded ,there will be average loss of 6.66%</t>
  </si>
  <si>
    <t>VaR(P)%</t>
  </si>
  <si>
    <t>CVaR(P)%</t>
  </si>
  <si>
    <t>Description</t>
  </si>
  <si>
    <t>Date of Occurrence</t>
  </si>
  <si>
    <t>Average Loss if the VaR is exceeded(Rank 1-62)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</si>
</sst>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9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120753-FA88-4102-8FC6-0499B378272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9470C-78D7-4123-B857-295009652E80}" name="NFLX_historical_data" displayName="NFLX_historical_data" ref="A1:G1259" tableType="queryTable" totalsRowShown="0">
  <autoFilter ref="A1:G1259" xr:uid="{49D9470C-78D7-4123-B857-295009652E80}"/>
  <tableColumns count="7">
    <tableColumn id="1" xr3:uid="{D1A1DD82-9439-45B8-95A5-4CC1B638F3C5}" uniqueName="1" name="Date" queryTableFieldId="1" dataDxfId="0"/>
    <tableColumn id="2" xr3:uid="{A432CAAF-F9D3-4B2A-AE3B-8A0A649706DE}" uniqueName="2" name="Open" queryTableFieldId="2"/>
    <tableColumn id="3" xr3:uid="{546A1D28-322D-42E2-8A56-59D46E423E7E}" uniqueName="3" name="High" queryTableFieldId="3"/>
    <tableColumn id="4" xr3:uid="{4AE369F8-2FD4-4B2B-BEE5-B358A15C6CB1}" uniqueName="4" name="Low" queryTableFieldId="4"/>
    <tableColumn id="5" xr3:uid="{02DFF08C-141A-4114-AE96-B238ECE3E708}" uniqueName="5" name="Close" queryTableFieldId="5"/>
    <tableColumn id="6" xr3:uid="{ED8B97A7-67E4-4490-B2FC-64437FB96B56}" uniqueName="6" name="Adj Close" queryTableFieldId="6"/>
    <tableColumn id="7" xr3:uid="{08949C90-7F4E-43FE-BF50-7B135E0E95C7}" uniqueName="7" name="Volu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9986-A0C3-4C5A-9665-907A03C07BA4}">
  <dimension ref="A1:S1259"/>
  <sheetViews>
    <sheetView tabSelected="1" workbookViewId="0">
      <selection activeCell="O9" sqref="O9"/>
    </sheetView>
  </sheetViews>
  <sheetFormatPr defaultRowHeight="15" x14ac:dyDescent="0.25"/>
  <cols>
    <col min="1" max="1" width="10.42578125" bestFit="1" customWidth="1"/>
    <col min="2" max="6" width="12" bestFit="1" customWidth="1"/>
    <col min="7" max="7" width="10.28515625" bestFit="1" customWidth="1"/>
    <col min="12" max="12" width="14.140625" bestFit="1" customWidth="1"/>
    <col min="15" max="15" width="10.42578125" bestFit="1" customWidth="1"/>
    <col min="16" max="16" width="12.7109375" bestFit="1" customWidth="1"/>
    <col min="17" max="17" width="10.42578125" bestFit="1" customWidth="1"/>
    <col min="19" max="19" width="103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7</v>
      </c>
      <c r="S1" s="2" t="s">
        <v>23</v>
      </c>
    </row>
    <row r="2" spans="1:19" x14ac:dyDescent="0.25">
      <c r="A2" s="1">
        <v>43731</v>
      </c>
      <c r="B2">
        <v>268.35000610351563</v>
      </c>
      <c r="C2">
        <v>273.3900146484375</v>
      </c>
      <c r="D2">
        <v>261.8900146484375</v>
      </c>
      <c r="E2">
        <v>265.92001342773438</v>
      </c>
      <c r="F2">
        <v>265.92001342773438</v>
      </c>
      <c r="G2">
        <v>13478600</v>
      </c>
      <c r="I2" s="5"/>
      <c r="K2" s="3" t="s">
        <v>9</v>
      </c>
      <c r="L2" s="3" t="s">
        <v>8</v>
      </c>
      <c r="N2" s="3" t="s">
        <v>10</v>
      </c>
      <c r="O2" s="4">
        <v>0.05</v>
      </c>
      <c r="P2" s="4">
        <v>0.01</v>
      </c>
      <c r="Q2" s="4">
        <v>0.1</v>
      </c>
      <c r="S2" t="s">
        <v>12</v>
      </c>
    </row>
    <row r="3" spans="1:19" x14ac:dyDescent="0.25">
      <c r="A3" s="1">
        <v>43732</v>
      </c>
      <c r="B3">
        <v>262.5</v>
      </c>
      <c r="C3">
        <v>265</v>
      </c>
      <c r="D3">
        <v>252.27999877929688</v>
      </c>
      <c r="E3">
        <v>254.58999633789063</v>
      </c>
      <c r="F3">
        <v>254.58999633789063</v>
      </c>
      <c r="G3">
        <v>16338200</v>
      </c>
      <c r="I3" s="5">
        <f>LN(F3/F2)</f>
        <v>-4.3541168492603227E-2</v>
      </c>
      <c r="K3" s="5">
        <f>_xlfn.RANK.AVG(L3,_xlfn.ANCHORARRAY($L$3),1)</f>
        <v>1</v>
      </c>
      <c r="L3" s="5" cm="1">
        <f t="array" ref="L3:L1259">_xlfn._xlws.SORT(I3:I1259,1,1,FALSE)</f>
        <v>-0.43257841199468944</v>
      </c>
      <c r="N3" s="3" t="s">
        <v>14</v>
      </c>
      <c r="O3" s="5">
        <f>COUNT($L:$L)</f>
        <v>1257</v>
      </c>
      <c r="P3" s="5">
        <f t="shared" ref="P3:Q3" si="0">COUNT($L:$L)</f>
        <v>1257</v>
      </c>
      <c r="Q3" s="5">
        <f t="shared" si="0"/>
        <v>1257</v>
      </c>
      <c r="S3" t="s">
        <v>13</v>
      </c>
    </row>
    <row r="4" spans="1:19" x14ac:dyDescent="0.25">
      <c r="A4" s="1">
        <v>43733</v>
      </c>
      <c r="B4">
        <v>255.71000671386719</v>
      </c>
      <c r="C4">
        <v>266.60000610351563</v>
      </c>
      <c r="D4">
        <v>253.69999694824219</v>
      </c>
      <c r="E4">
        <v>264.75</v>
      </c>
      <c r="F4">
        <v>264.75</v>
      </c>
      <c r="G4">
        <v>11643800</v>
      </c>
      <c r="I4" s="5">
        <f t="shared" ref="I4:I67" si="1">LN(F4/F3)</f>
        <v>3.9131590811645973E-2</v>
      </c>
      <c r="K4" s="5">
        <f t="shared" ref="K4:K67" si="2">_xlfn.RANK.AVG(L4,_xlfn.ANCHORARRAY($L$3),1)</f>
        <v>2</v>
      </c>
      <c r="L4" s="5">
        <v>-0.24577851841406947</v>
      </c>
      <c r="N4" s="3" t="s">
        <v>11</v>
      </c>
      <c r="O4" s="5">
        <f>ROUND(O2*O3,0)</f>
        <v>63</v>
      </c>
      <c r="P4" s="5">
        <f t="shared" ref="P4:Q4" si="3">ROUND(P2*P3,0)</f>
        <v>13</v>
      </c>
      <c r="Q4" s="5">
        <f t="shared" si="3"/>
        <v>126</v>
      </c>
      <c r="S4" t="s">
        <v>15</v>
      </c>
    </row>
    <row r="5" spans="1:19" x14ac:dyDescent="0.25">
      <c r="A5" s="1">
        <v>43734</v>
      </c>
      <c r="B5">
        <v>266.42001342773438</v>
      </c>
      <c r="C5">
        <v>268.04998779296875</v>
      </c>
      <c r="D5">
        <v>260.20001220703125</v>
      </c>
      <c r="E5">
        <v>263.30999755859375</v>
      </c>
      <c r="F5">
        <v>263.30999755859375</v>
      </c>
      <c r="G5">
        <v>7684000</v>
      </c>
      <c r="I5" s="5">
        <f t="shared" si="1"/>
        <v>-5.4539484813644701E-3</v>
      </c>
      <c r="K5" s="5">
        <f t="shared" si="2"/>
        <v>3</v>
      </c>
      <c r="L5" s="5">
        <v>-0.11809528159499666</v>
      </c>
      <c r="N5" s="3" t="s">
        <v>16</v>
      </c>
      <c r="O5" s="5">
        <f>VLOOKUP(O4,$K:$L,2,FALSE)</f>
        <v>-3.8481594498964246E-2</v>
      </c>
      <c r="P5" s="5">
        <f t="shared" ref="P5:Q5" si="4">VLOOKUP(P4,$K:$L,2,FALSE)</f>
        <v>-7.2744475846801118E-2</v>
      </c>
      <c r="Q5" s="5">
        <f t="shared" si="4"/>
        <v>-2.6638204360714169E-2</v>
      </c>
      <c r="S5" t="s">
        <v>17</v>
      </c>
    </row>
    <row r="6" spans="1:19" x14ac:dyDescent="0.25">
      <c r="A6" s="1">
        <v>43735</v>
      </c>
      <c r="B6">
        <v>266.17999267578125</v>
      </c>
      <c r="C6">
        <v>267.44000244140625</v>
      </c>
      <c r="D6">
        <v>260.3900146484375</v>
      </c>
      <c r="E6">
        <v>263.07998657226563</v>
      </c>
      <c r="F6">
        <v>263.07998657226563</v>
      </c>
      <c r="G6">
        <v>7328300</v>
      </c>
      <c r="I6" s="5">
        <f t="shared" si="1"/>
        <v>-8.7391860750103472E-4</v>
      </c>
      <c r="K6" s="5">
        <f t="shared" si="2"/>
        <v>4</v>
      </c>
      <c r="L6" s="5">
        <v>-0.10433862045715457</v>
      </c>
      <c r="N6" s="3" t="s">
        <v>18</v>
      </c>
      <c r="O6" s="5" cm="1">
        <f t="array" ref="O6">AVERAGE(_xlfn._xlws.FILTER(_xlfn.ANCHORARRAY($L$3),_xlfn.ANCHORARRAY($L$3)&lt;O5))</f>
        <v>-6.6595783640323564E-2</v>
      </c>
      <c r="P6" s="5" cm="1">
        <f t="array" ref="P6">AVERAGE(_xlfn._xlws.FILTER(_xlfn.ANCHORARRAY($L$3),_xlfn.ANCHORARRAY($L$3)&lt;P5))</f>
        <v>-0.13142792664466577</v>
      </c>
      <c r="Q6" s="5" cm="1">
        <f t="array" ref="Q6">AVERAGE(_xlfn._xlws.FILTER(_xlfn.ANCHORARRAY($L$3),_xlfn.ANCHORARRAY($L$3)&lt;Q5))</f>
        <v>-4.9309068507580905E-2</v>
      </c>
      <c r="S6" t="s">
        <v>25</v>
      </c>
    </row>
    <row r="7" spans="1:19" x14ac:dyDescent="0.25">
      <c r="A7" s="1">
        <v>43738</v>
      </c>
      <c r="B7">
        <v>264</v>
      </c>
      <c r="C7">
        <v>268.8800048828125</v>
      </c>
      <c r="D7">
        <v>262.77999877929688</v>
      </c>
      <c r="E7">
        <v>267.6199951171875</v>
      </c>
      <c r="F7">
        <v>267.6199951171875</v>
      </c>
      <c r="G7">
        <v>6727200</v>
      </c>
      <c r="I7" s="5">
        <f t="shared" si="1"/>
        <v>1.7109928238872425E-2</v>
      </c>
      <c r="K7" s="5">
        <f t="shared" si="2"/>
        <v>5</v>
      </c>
      <c r="L7" s="5">
        <v>-9.5336421187312198E-2</v>
      </c>
      <c r="N7" s="3" t="s">
        <v>0</v>
      </c>
      <c r="O7" s="6">
        <f>_xlfn.XLOOKUP(O5,$I:$I,$A:$A,"N/A",0,1)</f>
        <v>45293</v>
      </c>
      <c r="P7" s="6">
        <f t="shared" ref="P7:Q7" si="5">_xlfn.XLOOKUP(P5,$I:$I,$A:$A,"N/A",0,1)</f>
        <v>44699</v>
      </c>
      <c r="Q7" s="6">
        <f t="shared" si="5"/>
        <v>44615</v>
      </c>
      <c r="S7" t="s">
        <v>24</v>
      </c>
    </row>
    <row r="8" spans="1:19" x14ac:dyDescent="0.25">
      <c r="A8" s="1">
        <v>43739</v>
      </c>
      <c r="B8">
        <v>267.35000610351563</v>
      </c>
      <c r="C8">
        <v>272.20001220703125</v>
      </c>
      <c r="D8">
        <v>264.02999877929688</v>
      </c>
      <c r="E8">
        <v>269.57998657226563</v>
      </c>
      <c r="F8">
        <v>269.57998657226563</v>
      </c>
      <c r="G8">
        <v>8650300</v>
      </c>
      <c r="I8" s="5">
        <f t="shared" si="1"/>
        <v>7.2970968687682079E-3</v>
      </c>
      <c r="K8" s="5">
        <f t="shared" si="2"/>
        <v>6</v>
      </c>
      <c r="L8" s="5">
        <v>-9.0222876162618121E-2</v>
      </c>
      <c r="N8" s="3" t="s">
        <v>21</v>
      </c>
      <c r="O8" s="5">
        <f>O5*100</f>
        <v>-3.8481594498964244</v>
      </c>
      <c r="P8" s="5">
        <f t="shared" ref="P8:Q8" si="6">P5*100</f>
        <v>-7.2744475846801118</v>
      </c>
      <c r="Q8" s="5">
        <f t="shared" si="6"/>
        <v>-2.6638204360714171</v>
      </c>
      <c r="S8" t="s">
        <v>19</v>
      </c>
    </row>
    <row r="9" spans="1:19" x14ac:dyDescent="0.25">
      <c r="A9" s="1">
        <v>43740</v>
      </c>
      <c r="B9">
        <v>263.6099853515625</v>
      </c>
      <c r="C9">
        <v>269.35000610351563</v>
      </c>
      <c r="D9">
        <v>262.19000244140625</v>
      </c>
      <c r="E9">
        <v>268.02999877929688</v>
      </c>
      <c r="F9">
        <v>268.02999877929688</v>
      </c>
      <c r="G9">
        <v>7659100</v>
      </c>
      <c r="I9" s="5">
        <f t="shared" si="1"/>
        <v>-5.7662325101269932E-3</v>
      </c>
      <c r="K9" s="5">
        <f t="shared" si="2"/>
        <v>7</v>
      </c>
      <c r="L9" s="5">
        <v>-8.9846494370453861E-2</v>
      </c>
      <c r="N9" s="3" t="s">
        <v>22</v>
      </c>
      <c r="O9" s="5">
        <f>O6*100</f>
        <v>-6.659578364032356</v>
      </c>
      <c r="P9" s="5">
        <f t="shared" ref="P9:Q9" si="7">P6*100</f>
        <v>-13.142792664466576</v>
      </c>
      <c r="Q9" s="5">
        <f t="shared" si="7"/>
        <v>-4.9309068507580909</v>
      </c>
      <c r="S9" t="s">
        <v>20</v>
      </c>
    </row>
    <row r="10" spans="1:19" x14ac:dyDescent="0.25">
      <c r="A10" s="1">
        <v>43741</v>
      </c>
      <c r="B10">
        <v>267.77999877929688</v>
      </c>
      <c r="C10">
        <v>268.83999633789063</v>
      </c>
      <c r="D10">
        <v>257.010009765625</v>
      </c>
      <c r="E10">
        <v>268.14999389648438</v>
      </c>
      <c r="F10">
        <v>268.14999389648438</v>
      </c>
      <c r="G10">
        <v>8951000</v>
      </c>
      <c r="I10" s="5">
        <f t="shared" si="1"/>
        <v>4.4759267719765594E-4</v>
      </c>
      <c r="K10" s="5">
        <f t="shared" si="2"/>
        <v>8</v>
      </c>
      <c r="L10" s="5">
        <v>-8.7858753535861089E-2</v>
      </c>
    </row>
    <row r="11" spans="1:19" x14ac:dyDescent="0.25">
      <c r="A11" s="1">
        <v>43742</v>
      </c>
      <c r="B11">
        <v>268.20001220703125</v>
      </c>
      <c r="C11">
        <v>275.48001098632813</v>
      </c>
      <c r="D11">
        <v>266.47000122070313</v>
      </c>
      <c r="E11">
        <v>272.79000854492188</v>
      </c>
      <c r="F11">
        <v>272.79000854492188</v>
      </c>
      <c r="G11">
        <v>9890400</v>
      </c>
      <c r="I11" s="5">
        <f t="shared" si="1"/>
        <v>1.715579706274481E-2</v>
      </c>
      <c r="K11" s="5">
        <f t="shared" si="2"/>
        <v>9</v>
      </c>
      <c r="L11" s="5">
        <v>-8.0983806905682534E-2</v>
      </c>
    </row>
    <row r="12" spans="1:19" x14ac:dyDescent="0.25">
      <c r="A12" s="1">
        <v>43745</v>
      </c>
      <c r="B12">
        <v>271.989990234375</v>
      </c>
      <c r="C12">
        <v>276.67999267578125</v>
      </c>
      <c r="D12">
        <v>271.27999877929688</v>
      </c>
      <c r="E12">
        <v>274.45999145507813</v>
      </c>
      <c r="F12">
        <v>274.45999145507813</v>
      </c>
      <c r="G12">
        <v>6525600</v>
      </c>
      <c r="I12" s="5">
        <f t="shared" si="1"/>
        <v>6.1031999778021076E-3</v>
      </c>
      <c r="K12" s="5">
        <f t="shared" si="2"/>
        <v>10</v>
      </c>
      <c r="L12" s="5">
        <v>-8.0026302920306172E-2</v>
      </c>
    </row>
    <row r="13" spans="1:19" x14ac:dyDescent="0.25">
      <c r="A13" s="1">
        <v>43746</v>
      </c>
      <c r="B13">
        <v>273.02999877929688</v>
      </c>
      <c r="C13">
        <v>275.52999877929688</v>
      </c>
      <c r="D13">
        <v>270.6400146484375</v>
      </c>
      <c r="E13">
        <v>270.72000122070313</v>
      </c>
      <c r="F13">
        <v>270.72000122070313</v>
      </c>
      <c r="G13">
        <v>6276400</v>
      </c>
      <c r="I13" s="5">
        <f t="shared" si="1"/>
        <v>-1.3720418780951543E-2</v>
      </c>
      <c r="K13" s="5">
        <f t="shared" si="2"/>
        <v>11</v>
      </c>
      <c r="L13" s="5">
        <v>-7.6884645991417352E-2</v>
      </c>
    </row>
    <row r="14" spans="1:19" x14ac:dyDescent="0.25">
      <c r="A14" s="1">
        <v>43747</v>
      </c>
      <c r="B14">
        <v>270.01998901367188</v>
      </c>
      <c r="C14">
        <v>271</v>
      </c>
      <c r="D14">
        <v>264.57000732421875</v>
      </c>
      <c r="E14">
        <v>267.52999877929688</v>
      </c>
      <c r="F14">
        <v>267.52999877929688</v>
      </c>
      <c r="G14">
        <v>6794400</v>
      </c>
      <c r="I14" s="5">
        <f t="shared" si="1"/>
        <v>-1.1853375909338512E-2</v>
      </c>
      <c r="K14" s="5">
        <f t="shared" si="2"/>
        <v>12</v>
      </c>
      <c r="L14" s="5">
        <v>-7.5184986201427856E-2</v>
      </c>
    </row>
    <row r="15" spans="1:19" x14ac:dyDescent="0.25">
      <c r="A15" s="1">
        <v>43748</v>
      </c>
      <c r="B15">
        <v>265.97000122070313</v>
      </c>
      <c r="C15">
        <v>280.52999877929688</v>
      </c>
      <c r="D15">
        <v>265.02999877929688</v>
      </c>
      <c r="E15">
        <v>280.48001098632813</v>
      </c>
      <c r="F15">
        <v>280.48001098632813</v>
      </c>
      <c r="G15">
        <v>10809100</v>
      </c>
      <c r="I15" s="5">
        <f t="shared" si="1"/>
        <v>4.7270755325043282E-2</v>
      </c>
      <c r="K15" s="5">
        <f t="shared" si="2"/>
        <v>13</v>
      </c>
      <c r="L15" s="5">
        <v>-7.2744475846801118E-2</v>
      </c>
    </row>
    <row r="16" spans="1:19" x14ac:dyDescent="0.25">
      <c r="A16" s="1">
        <v>43749</v>
      </c>
      <c r="B16">
        <v>284.79998779296875</v>
      </c>
      <c r="C16">
        <v>287.8699951171875</v>
      </c>
      <c r="D16">
        <v>282.33999633789063</v>
      </c>
      <c r="E16">
        <v>282.92999267578125</v>
      </c>
      <c r="F16">
        <v>282.92999267578125</v>
      </c>
      <c r="G16">
        <v>8786100</v>
      </c>
      <c r="I16" s="5">
        <f t="shared" si="1"/>
        <v>8.6970309942063541E-3</v>
      </c>
      <c r="K16" s="5">
        <f t="shared" si="2"/>
        <v>14</v>
      </c>
      <c r="L16" s="5">
        <v>-7.1733201460325385E-2</v>
      </c>
    </row>
    <row r="17" spans="1:12" x14ac:dyDescent="0.25">
      <c r="A17" s="1">
        <v>43752</v>
      </c>
      <c r="B17">
        <v>283.92999267578125</v>
      </c>
      <c r="C17">
        <v>286.92999267578125</v>
      </c>
      <c r="D17">
        <v>282</v>
      </c>
      <c r="E17">
        <v>285.52999877929688</v>
      </c>
      <c r="F17">
        <v>285.52999877929688</v>
      </c>
      <c r="G17">
        <v>5513200</v>
      </c>
      <c r="I17" s="5">
        <f t="shared" si="1"/>
        <v>9.1476067726939218E-3</v>
      </c>
      <c r="K17" s="5">
        <f t="shared" si="2"/>
        <v>15</v>
      </c>
      <c r="L17" s="5">
        <v>-7.1260524301918107E-2</v>
      </c>
    </row>
    <row r="18" spans="1:12" x14ac:dyDescent="0.25">
      <c r="A18" s="1">
        <v>43753</v>
      </c>
      <c r="B18">
        <v>283.82000732421875</v>
      </c>
      <c r="C18">
        <v>285.8699951171875</v>
      </c>
      <c r="D18">
        <v>279.39999389648438</v>
      </c>
      <c r="E18">
        <v>284.25</v>
      </c>
      <c r="F18">
        <v>284.25</v>
      </c>
      <c r="G18">
        <v>7685600</v>
      </c>
      <c r="I18" s="5">
        <f t="shared" si="1"/>
        <v>-4.4929654789164601E-3</v>
      </c>
      <c r="K18" s="5">
        <f t="shared" si="2"/>
        <v>16</v>
      </c>
      <c r="L18" s="5">
        <v>-7.0662123538749302E-2</v>
      </c>
    </row>
    <row r="19" spans="1:12" x14ac:dyDescent="0.25">
      <c r="A19" s="1">
        <v>43754</v>
      </c>
      <c r="B19">
        <v>283.1199951171875</v>
      </c>
      <c r="C19">
        <v>288.17001342773438</v>
      </c>
      <c r="D19">
        <v>280.739990234375</v>
      </c>
      <c r="E19">
        <v>286.27999877929688</v>
      </c>
      <c r="F19">
        <v>286.27999877929688</v>
      </c>
      <c r="G19">
        <v>16175900</v>
      </c>
      <c r="I19" s="5">
        <f t="shared" si="1"/>
        <v>7.1162159757331735E-3</v>
      </c>
      <c r="K19" s="5">
        <f t="shared" si="2"/>
        <v>17</v>
      </c>
      <c r="L19" s="5">
        <v>-6.745147052196783E-2</v>
      </c>
    </row>
    <row r="20" spans="1:12" x14ac:dyDescent="0.25">
      <c r="A20" s="1">
        <v>43755</v>
      </c>
      <c r="B20">
        <v>304.489990234375</v>
      </c>
      <c r="C20">
        <v>308.75</v>
      </c>
      <c r="D20">
        <v>288.29998779296875</v>
      </c>
      <c r="E20">
        <v>293.35000610351563</v>
      </c>
      <c r="F20">
        <v>293.35000610351563</v>
      </c>
      <c r="G20">
        <v>38258900</v>
      </c>
      <c r="I20" s="5">
        <f t="shared" si="1"/>
        <v>2.4396107571747653E-2</v>
      </c>
      <c r="K20" s="5">
        <f t="shared" si="2"/>
        <v>18</v>
      </c>
      <c r="L20" s="5">
        <v>-6.5733597652002693E-2</v>
      </c>
    </row>
    <row r="21" spans="1:12" x14ac:dyDescent="0.25">
      <c r="A21" s="1">
        <v>43756</v>
      </c>
      <c r="B21">
        <v>289.3599853515625</v>
      </c>
      <c r="C21">
        <v>290.89999389648438</v>
      </c>
      <c r="D21">
        <v>273.3599853515625</v>
      </c>
      <c r="E21">
        <v>275.29998779296875</v>
      </c>
      <c r="F21">
        <v>275.29998779296875</v>
      </c>
      <c r="G21">
        <v>23429900</v>
      </c>
      <c r="I21" s="5">
        <f t="shared" si="1"/>
        <v>-6.3505088370398158E-2</v>
      </c>
      <c r="K21" s="5">
        <f t="shared" si="2"/>
        <v>19</v>
      </c>
      <c r="L21" s="5">
        <v>-6.5657437632041446E-2</v>
      </c>
    </row>
    <row r="22" spans="1:12" x14ac:dyDescent="0.25">
      <c r="A22" s="1">
        <v>43759</v>
      </c>
      <c r="B22">
        <v>272.8900146484375</v>
      </c>
      <c r="C22">
        <v>279.94000244140625</v>
      </c>
      <c r="D22">
        <v>269</v>
      </c>
      <c r="E22">
        <v>278.04998779296875</v>
      </c>
      <c r="F22">
        <v>278.04998779296875</v>
      </c>
      <c r="G22">
        <v>12599200</v>
      </c>
      <c r="I22" s="5">
        <f t="shared" si="1"/>
        <v>9.9395419235559189E-3</v>
      </c>
      <c r="K22" s="5">
        <f t="shared" si="2"/>
        <v>20</v>
      </c>
      <c r="L22" s="5">
        <v>-6.3505088370398158E-2</v>
      </c>
    </row>
    <row r="23" spans="1:12" x14ac:dyDescent="0.25">
      <c r="A23" s="1">
        <v>43760</v>
      </c>
      <c r="B23">
        <v>271.16000366210938</v>
      </c>
      <c r="C23">
        <v>275.41000366210938</v>
      </c>
      <c r="D23">
        <v>265.79998779296875</v>
      </c>
      <c r="E23">
        <v>266.69000244140625</v>
      </c>
      <c r="F23">
        <v>266.69000244140625</v>
      </c>
      <c r="G23">
        <v>11802400</v>
      </c>
      <c r="I23" s="5">
        <f t="shared" si="1"/>
        <v>-4.1713965404895519E-2</v>
      </c>
      <c r="K23" s="5">
        <f t="shared" si="2"/>
        <v>21</v>
      </c>
      <c r="L23" s="5">
        <v>-6.2861413230632865E-2</v>
      </c>
    </row>
    <row r="24" spans="1:12" x14ac:dyDescent="0.25">
      <c r="A24" s="1">
        <v>43761</v>
      </c>
      <c r="B24">
        <v>268.05999755859375</v>
      </c>
      <c r="C24">
        <v>273.92001342773438</v>
      </c>
      <c r="D24">
        <v>266.6300048828125</v>
      </c>
      <c r="E24">
        <v>271.26998901367188</v>
      </c>
      <c r="F24">
        <v>271.26998901367188</v>
      </c>
      <c r="G24">
        <v>7133500</v>
      </c>
      <c r="I24" s="5">
        <f t="shared" si="1"/>
        <v>1.7027650029444938E-2</v>
      </c>
      <c r="K24" s="5">
        <f t="shared" si="2"/>
        <v>22</v>
      </c>
      <c r="L24" s="5">
        <v>-6.2539128670594468E-2</v>
      </c>
    </row>
    <row r="25" spans="1:12" x14ac:dyDescent="0.25">
      <c r="A25" s="1">
        <v>43762</v>
      </c>
      <c r="B25">
        <v>271.80999755859375</v>
      </c>
      <c r="C25">
        <v>274.01998901367188</v>
      </c>
      <c r="D25">
        <v>268.79998779296875</v>
      </c>
      <c r="E25">
        <v>271.5</v>
      </c>
      <c r="F25">
        <v>271.5</v>
      </c>
      <c r="G25">
        <v>4827400</v>
      </c>
      <c r="I25" s="5">
        <f t="shared" si="1"/>
        <v>8.4754501815702374E-4</v>
      </c>
      <c r="K25" s="5">
        <f t="shared" si="2"/>
        <v>23</v>
      </c>
      <c r="L25" s="5">
        <v>-6.2392624871972779E-2</v>
      </c>
    </row>
    <row r="26" spans="1:12" x14ac:dyDescent="0.25">
      <c r="A26" s="1">
        <v>43763</v>
      </c>
      <c r="B26">
        <v>270.67999267578125</v>
      </c>
      <c r="C26">
        <v>277.76998901367188</v>
      </c>
      <c r="D26">
        <v>270.17999267578125</v>
      </c>
      <c r="E26">
        <v>276.82000732421875</v>
      </c>
      <c r="F26">
        <v>276.82000732421875</v>
      </c>
      <c r="G26">
        <v>4747800</v>
      </c>
      <c r="I26" s="5">
        <f t="shared" si="1"/>
        <v>1.9405362552981434E-2</v>
      </c>
      <c r="K26" s="5">
        <f t="shared" si="2"/>
        <v>24</v>
      </c>
      <c r="L26" s="5">
        <v>-5.8121365024304927E-2</v>
      </c>
    </row>
    <row r="27" spans="1:12" x14ac:dyDescent="0.25">
      <c r="A27" s="1">
        <v>43766</v>
      </c>
      <c r="B27">
        <v>278.04998779296875</v>
      </c>
      <c r="C27">
        <v>285.75</v>
      </c>
      <c r="D27">
        <v>277.35000610351563</v>
      </c>
      <c r="E27">
        <v>281.8599853515625</v>
      </c>
      <c r="F27">
        <v>281.8599853515625</v>
      </c>
      <c r="G27">
        <v>6248400</v>
      </c>
      <c r="I27" s="5">
        <f t="shared" si="1"/>
        <v>1.8042939865777173E-2</v>
      </c>
      <c r="K27" s="5">
        <f t="shared" si="2"/>
        <v>25</v>
      </c>
      <c r="L27" s="5">
        <v>-5.7207732821380523E-2</v>
      </c>
    </row>
    <row r="28" spans="1:12" x14ac:dyDescent="0.25">
      <c r="A28" s="1">
        <v>43767</v>
      </c>
      <c r="B28">
        <v>281.8699951171875</v>
      </c>
      <c r="C28">
        <v>284.41000366210938</v>
      </c>
      <c r="D28">
        <v>277.54998779296875</v>
      </c>
      <c r="E28">
        <v>281.20999145507813</v>
      </c>
      <c r="F28">
        <v>281.20999145507813</v>
      </c>
      <c r="G28">
        <v>4356200</v>
      </c>
      <c r="I28" s="5">
        <f t="shared" si="1"/>
        <v>-2.3087509971468564E-3</v>
      </c>
      <c r="K28" s="5">
        <f t="shared" si="2"/>
        <v>26</v>
      </c>
      <c r="L28" s="5">
        <v>-5.6393720784923523E-2</v>
      </c>
    </row>
    <row r="29" spans="1:12" x14ac:dyDescent="0.25">
      <c r="A29" s="1">
        <v>43768</v>
      </c>
      <c r="B29">
        <v>284.33999633789063</v>
      </c>
      <c r="C29">
        <v>293.489990234375</v>
      </c>
      <c r="D29">
        <v>283</v>
      </c>
      <c r="E29">
        <v>291.45001220703125</v>
      </c>
      <c r="F29">
        <v>291.45001220703125</v>
      </c>
      <c r="G29">
        <v>9345600</v>
      </c>
      <c r="I29" s="5">
        <f t="shared" si="1"/>
        <v>3.5766815579748187E-2</v>
      </c>
      <c r="K29" s="5">
        <f t="shared" si="2"/>
        <v>27</v>
      </c>
      <c r="L29" s="5">
        <v>-5.5031945958640721E-2</v>
      </c>
    </row>
    <row r="30" spans="1:12" x14ac:dyDescent="0.25">
      <c r="A30" s="1">
        <v>43769</v>
      </c>
      <c r="B30">
        <v>291</v>
      </c>
      <c r="C30">
        <v>291.45001220703125</v>
      </c>
      <c r="D30">
        <v>284.77999877929688</v>
      </c>
      <c r="E30">
        <v>287.41000366210938</v>
      </c>
      <c r="F30">
        <v>287.41000366210938</v>
      </c>
      <c r="G30">
        <v>5090000</v>
      </c>
      <c r="I30" s="5">
        <f t="shared" si="1"/>
        <v>-1.395872588278327E-2</v>
      </c>
      <c r="K30" s="5">
        <f t="shared" si="2"/>
        <v>28</v>
      </c>
      <c r="L30" s="5">
        <v>-5.3027458644947269E-2</v>
      </c>
    </row>
    <row r="31" spans="1:12" x14ac:dyDescent="0.25">
      <c r="A31" s="1">
        <v>43770</v>
      </c>
      <c r="B31">
        <v>288.70001220703125</v>
      </c>
      <c r="C31">
        <v>289.1199951171875</v>
      </c>
      <c r="D31">
        <v>283.01998901367188</v>
      </c>
      <c r="E31">
        <v>286.80999755859375</v>
      </c>
      <c r="F31">
        <v>286.80999755859375</v>
      </c>
      <c r="G31">
        <v>5594300</v>
      </c>
      <c r="I31" s="5">
        <f t="shared" si="1"/>
        <v>-2.089813383749486E-3</v>
      </c>
      <c r="K31" s="5">
        <f t="shared" si="2"/>
        <v>29</v>
      </c>
      <c r="L31" s="5">
        <v>-5.2932863111696454E-2</v>
      </c>
    </row>
    <row r="32" spans="1:12" x14ac:dyDescent="0.25">
      <c r="A32" s="1">
        <v>43773</v>
      </c>
      <c r="B32">
        <v>288</v>
      </c>
      <c r="C32">
        <v>295.3900146484375</v>
      </c>
      <c r="D32">
        <v>287.16000366210938</v>
      </c>
      <c r="E32">
        <v>292.8599853515625</v>
      </c>
      <c r="F32">
        <v>292.8599853515625</v>
      </c>
      <c r="G32">
        <v>5566200</v>
      </c>
      <c r="I32" s="5">
        <f t="shared" si="1"/>
        <v>2.0874661999725427E-2</v>
      </c>
      <c r="K32" s="5">
        <f t="shared" si="2"/>
        <v>30</v>
      </c>
      <c r="L32" s="5">
        <v>-5.2339546999403914E-2</v>
      </c>
    </row>
    <row r="33" spans="1:12" x14ac:dyDescent="0.25">
      <c r="A33" s="1">
        <v>43774</v>
      </c>
      <c r="B33">
        <v>289.989990234375</v>
      </c>
      <c r="C33">
        <v>291.19000244140625</v>
      </c>
      <c r="D33">
        <v>286.30999755859375</v>
      </c>
      <c r="E33">
        <v>288.02999877929688</v>
      </c>
      <c r="F33">
        <v>288.02999877929688</v>
      </c>
      <c r="G33">
        <v>4062400</v>
      </c>
      <c r="I33" s="5">
        <f t="shared" si="1"/>
        <v>-1.6629991969011926E-2</v>
      </c>
      <c r="K33" s="5">
        <f t="shared" si="2"/>
        <v>31</v>
      </c>
      <c r="L33" s="5">
        <v>-5.1755288508344405E-2</v>
      </c>
    </row>
    <row r="34" spans="1:12" x14ac:dyDescent="0.25">
      <c r="A34" s="1">
        <v>43775</v>
      </c>
      <c r="B34">
        <v>288.19000244140625</v>
      </c>
      <c r="C34">
        <v>290.55999755859375</v>
      </c>
      <c r="D34">
        <v>285.83999633789063</v>
      </c>
      <c r="E34">
        <v>288.58999633789063</v>
      </c>
      <c r="F34">
        <v>288.58999633789063</v>
      </c>
      <c r="G34">
        <v>3438300</v>
      </c>
      <c r="I34" s="5">
        <f t="shared" si="1"/>
        <v>1.9423458756016062E-3</v>
      </c>
      <c r="K34" s="5">
        <f t="shared" si="2"/>
        <v>32</v>
      </c>
      <c r="L34" s="5">
        <v>-5.0975013728856759E-2</v>
      </c>
    </row>
    <row r="35" spans="1:12" x14ac:dyDescent="0.25">
      <c r="A35" s="1">
        <v>43776</v>
      </c>
      <c r="B35">
        <v>290.70001220703125</v>
      </c>
      <c r="C35">
        <v>298.19000244140625</v>
      </c>
      <c r="D35">
        <v>288.26998901367188</v>
      </c>
      <c r="E35">
        <v>289.57000732421875</v>
      </c>
      <c r="F35">
        <v>289.57000732421875</v>
      </c>
      <c r="G35">
        <v>5928500</v>
      </c>
      <c r="I35" s="5">
        <f t="shared" si="1"/>
        <v>3.3901062637031612E-3</v>
      </c>
      <c r="K35" s="5">
        <f t="shared" si="2"/>
        <v>33</v>
      </c>
      <c r="L35" s="5">
        <v>-5.087040822521445E-2</v>
      </c>
    </row>
    <row r="36" spans="1:12" x14ac:dyDescent="0.25">
      <c r="A36" s="1">
        <v>43777</v>
      </c>
      <c r="B36">
        <v>288.73001098632813</v>
      </c>
      <c r="C36">
        <v>293.989990234375</v>
      </c>
      <c r="D36">
        <v>287.510009765625</v>
      </c>
      <c r="E36">
        <v>291.57000732421875</v>
      </c>
      <c r="F36">
        <v>291.57000732421875</v>
      </c>
      <c r="G36">
        <v>4509000</v>
      </c>
      <c r="I36" s="5">
        <f t="shared" si="1"/>
        <v>6.8830500245853589E-3</v>
      </c>
      <c r="K36" s="5">
        <f t="shared" si="2"/>
        <v>34</v>
      </c>
      <c r="L36" s="5">
        <v>-5.0772695594979156E-2</v>
      </c>
    </row>
    <row r="37" spans="1:12" x14ac:dyDescent="0.25">
      <c r="A37" s="1">
        <v>43780</v>
      </c>
      <c r="B37">
        <v>289.16000366210938</v>
      </c>
      <c r="C37">
        <v>296.3599853515625</v>
      </c>
      <c r="D37">
        <v>288.5</v>
      </c>
      <c r="E37">
        <v>294.17999267578125</v>
      </c>
      <c r="F37">
        <v>294.17999267578125</v>
      </c>
      <c r="G37">
        <v>3944300</v>
      </c>
      <c r="I37" s="5">
        <f t="shared" si="1"/>
        <v>8.9116606907096874E-3</v>
      </c>
      <c r="K37" s="5">
        <f t="shared" si="2"/>
        <v>35</v>
      </c>
      <c r="L37" s="5">
        <v>-5.0242862730305086E-2</v>
      </c>
    </row>
    <row r="38" spans="1:12" x14ac:dyDescent="0.25">
      <c r="A38" s="1">
        <v>43781</v>
      </c>
      <c r="B38">
        <v>295.32000732421875</v>
      </c>
      <c r="C38">
        <v>295.35000610351563</v>
      </c>
      <c r="D38">
        <v>288.70001220703125</v>
      </c>
      <c r="E38">
        <v>292.010009765625</v>
      </c>
      <c r="F38">
        <v>292.010009765625</v>
      </c>
      <c r="G38">
        <v>5772800</v>
      </c>
      <c r="I38" s="5">
        <f t="shared" si="1"/>
        <v>-7.4037182941319333E-3</v>
      </c>
      <c r="K38" s="5">
        <f t="shared" si="2"/>
        <v>36</v>
      </c>
      <c r="L38" s="5">
        <v>-4.9520206869016287E-2</v>
      </c>
    </row>
    <row r="39" spans="1:12" x14ac:dyDescent="0.25">
      <c r="A39" s="1">
        <v>43782</v>
      </c>
      <c r="B39">
        <v>291.02999877929688</v>
      </c>
      <c r="C39">
        <v>293.41000366210938</v>
      </c>
      <c r="D39">
        <v>281.1400146484375</v>
      </c>
      <c r="E39">
        <v>283.1099853515625</v>
      </c>
      <c r="F39">
        <v>283.1099853515625</v>
      </c>
      <c r="G39">
        <v>9158900</v>
      </c>
      <c r="I39" s="5">
        <f t="shared" si="1"/>
        <v>-3.0952618739800909E-2</v>
      </c>
      <c r="K39" s="5">
        <f t="shared" si="2"/>
        <v>37</v>
      </c>
      <c r="L39" s="5">
        <v>-4.9430049570964293E-2</v>
      </c>
    </row>
    <row r="40" spans="1:12" x14ac:dyDescent="0.25">
      <c r="A40" s="1">
        <v>43783</v>
      </c>
      <c r="B40">
        <v>283.25</v>
      </c>
      <c r="C40">
        <v>290.6300048828125</v>
      </c>
      <c r="D40">
        <v>283.22000122070313</v>
      </c>
      <c r="E40">
        <v>289.6199951171875</v>
      </c>
      <c r="F40">
        <v>289.6199951171875</v>
      </c>
      <c r="G40">
        <v>6529000</v>
      </c>
      <c r="I40" s="5">
        <f t="shared" si="1"/>
        <v>2.2734239080882217E-2</v>
      </c>
      <c r="K40" s="5">
        <f t="shared" si="2"/>
        <v>38</v>
      </c>
      <c r="L40" s="5">
        <v>-4.9138960824520392E-2</v>
      </c>
    </row>
    <row r="41" spans="1:12" x14ac:dyDescent="0.25">
      <c r="A41" s="1">
        <v>43784</v>
      </c>
      <c r="B41">
        <v>290.58999633789063</v>
      </c>
      <c r="C41">
        <v>295.82000732421875</v>
      </c>
      <c r="D41">
        <v>287.57000732421875</v>
      </c>
      <c r="E41">
        <v>295.02999877929688</v>
      </c>
      <c r="F41">
        <v>295.02999877929688</v>
      </c>
      <c r="G41">
        <v>6333800</v>
      </c>
      <c r="I41" s="5">
        <f t="shared" si="1"/>
        <v>1.8507339905860388E-2</v>
      </c>
      <c r="K41" s="5">
        <f t="shared" si="2"/>
        <v>39</v>
      </c>
      <c r="L41" s="5">
        <v>-4.7458398602130393E-2</v>
      </c>
    </row>
    <row r="42" spans="1:12" x14ac:dyDescent="0.25">
      <c r="A42" s="1">
        <v>43787</v>
      </c>
      <c r="B42">
        <v>296</v>
      </c>
      <c r="C42">
        <v>304.989990234375</v>
      </c>
      <c r="D42">
        <v>293.27999877929688</v>
      </c>
      <c r="E42">
        <v>302.57000732421875</v>
      </c>
      <c r="F42">
        <v>302.57000732421875</v>
      </c>
      <c r="G42">
        <v>8616600</v>
      </c>
      <c r="I42" s="5">
        <f t="shared" si="1"/>
        <v>2.5235637919326932E-2</v>
      </c>
      <c r="K42" s="5">
        <f t="shared" si="2"/>
        <v>40</v>
      </c>
      <c r="L42" s="5">
        <v>-4.7204912686024725E-2</v>
      </c>
    </row>
    <row r="43" spans="1:12" x14ac:dyDescent="0.25">
      <c r="A43" s="1">
        <v>43788</v>
      </c>
      <c r="B43">
        <v>304.010009765625</v>
      </c>
      <c r="C43">
        <v>305.67001342773438</v>
      </c>
      <c r="D43">
        <v>298.51998901367188</v>
      </c>
      <c r="E43">
        <v>302.60000610351563</v>
      </c>
      <c r="F43">
        <v>302.60000610351563</v>
      </c>
      <c r="G43">
        <v>5918000</v>
      </c>
      <c r="I43" s="5">
        <f t="shared" si="1"/>
        <v>9.9141658231030057E-5</v>
      </c>
      <c r="K43" s="5">
        <f t="shared" si="2"/>
        <v>41</v>
      </c>
      <c r="L43" s="5">
        <v>-4.699748388621245E-2</v>
      </c>
    </row>
    <row r="44" spans="1:12" x14ac:dyDescent="0.25">
      <c r="A44" s="1">
        <v>43789</v>
      </c>
      <c r="B44">
        <v>301.010009765625</v>
      </c>
      <c r="C44">
        <v>308.25</v>
      </c>
      <c r="D44">
        <v>301</v>
      </c>
      <c r="E44">
        <v>305.16000366210938</v>
      </c>
      <c r="F44">
        <v>305.16000366210938</v>
      </c>
      <c r="G44">
        <v>5111800</v>
      </c>
      <c r="I44" s="5">
        <f t="shared" si="1"/>
        <v>8.4244196981504253E-3</v>
      </c>
      <c r="K44" s="5">
        <f t="shared" si="2"/>
        <v>42</v>
      </c>
      <c r="L44" s="5">
        <v>-4.6809039598588308E-2</v>
      </c>
    </row>
    <row r="45" spans="1:12" x14ac:dyDescent="0.25">
      <c r="A45" s="1">
        <v>43790</v>
      </c>
      <c r="B45">
        <v>306</v>
      </c>
      <c r="C45">
        <v>312.69000244140625</v>
      </c>
      <c r="D45">
        <v>304.260009765625</v>
      </c>
      <c r="E45">
        <v>311.69000244140625</v>
      </c>
      <c r="F45">
        <v>311.69000244140625</v>
      </c>
      <c r="G45">
        <v>7488400</v>
      </c>
      <c r="I45" s="5">
        <f t="shared" si="1"/>
        <v>2.1172870738548896E-2</v>
      </c>
      <c r="K45" s="5">
        <f t="shared" si="2"/>
        <v>43</v>
      </c>
      <c r="L45" s="5">
        <v>-4.5974956946397201E-2</v>
      </c>
    </row>
    <row r="46" spans="1:12" x14ac:dyDescent="0.25">
      <c r="A46" s="1">
        <v>43791</v>
      </c>
      <c r="B46">
        <v>309.10000610351563</v>
      </c>
      <c r="C46">
        <v>311.39999389648438</v>
      </c>
      <c r="D46">
        <v>304.41000366210938</v>
      </c>
      <c r="E46">
        <v>310.48001098632813</v>
      </c>
      <c r="F46">
        <v>310.48001098632813</v>
      </c>
      <c r="G46">
        <v>5970100</v>
      </c>
      <c r="I46" s="5">
        <f t="shared" si="1"/>
        <v>-3.8895895155693027E-3</v>
      </c>
      <c r="K46" s="5">
        <f t="shared" si="2"/>
        <v>44</v>
      </c>
      <c r="L46" s="5">
        <v>-4.5923571082459605E-2</v>
      </c>
    </row>
    <row r="47" spans="1:12" x14ac:dyDescent="0.25">
      <c r="A47" s="1">
        <v>43794</v>
      </c>
      <c r="B47">
        <v>308.82998657226563</v>
      </c>
      <c r="C47">
        <v>315.73001098632813</v>
      </c>
      <c r="D47">
        <v>305.25</v>
      </c>
      <c r="E47">
        <v>315.54998779296875</v>
      </c>
      <c r="F47">
        <v>315.54998779296875</v>
      </c>
      <c r="G47">
        <v>7873900</v>
      </c>
      <c r="I47" s="5">
        <f t="shared" si="1"/>
        <v>1.619758689968407E-2</v>
      </c>
      <c r="K47" s="5">
        <f t="shared" si="2"/>
        <v>45</v>
      </c>
      <c r="L47" s="5">
        <v>-4.5684028226625796E-2</v>
      </c>
    </row>
    <row r="48" spans="1:12" x14ac:dyDescent="0.25">
      <c r="A48" s="1">
        <v>43795</v>
      </c>
      <c r="B48">
        <v>315</v>
      </c>
      <c r="C48">
        <v>316.5</v>
      </c>
      <c r="D48">
        <v>311.69000244140625</v>
      </c>
      <c r="E48">
        <v>312.489990234375</v>
      </c>
      <c r="F48">
        <v>312.489990234375</v>
      </c>
      <c r="G48">
        <v>5321000</v>
      </c>
      <c r="I48" s="5">
        <f t="shared" si="1"/>
        <v>-9.7446719318680514E-3</v>
      </c>
      <c r="K48" s="5">
        <f t="shared" si="2"/>
        <v>46</v>
      </c>
      <c r="L48" s="5">
        <v>-4.4461780975225323E-2</v>
      </c>
    </row>
    <row r="49" spans="1:12" x14ac:dyDescent="0.25">
      <c r="A49" s="1">
        <v>43796</v>
      </c>
      <c r="B49">
        <v>313.92999267578125</v>
      </c>
      <c r="C49">
        <v>316.82000732421875</v>
      </c>
      <c r="D49">
        <v>312.75</v>
      </c>
      <c r="E49">
        <v>315.92999267578125</v>
      </c>
      <c r="F49">
        <v>315.92999267578125</v>
      </c>
      <c r="G49">
        <v>4096900</v>
      </c>
      <c r="I49" s="5">
        <f t="shared" si="1"/>
        <v>1.0948209464127473E-2</v>
      </c>
      <c r="K49" s="5">
        <f t="shared" si="2"/>
        <v>47</v>
      </c>
      <c r="L49" s="5">
        <v>-4.3541168492603227E-2</v>
      </c>
    </row>
    <row r="50" spans="1:12" x14ac:dyDescent="0.25">
      <c r="A50" s="1">
        <v>43798</v>
      </c>
      <c r="B50">
        <v>315.77999877929688</v>
      </c>
      <c r="C50">
        <v>316.6199951171875</v>
      </c>
      <c r="D50">
        <v>313.33999633789063</v>
      </c>
      <c r="E50">
        <v>314.66000366210938</v>
      </c>
      <c r="F50">
        <v>314.66000366210938</v>
      </c>
      <c r="G50">
        <v>2411700</v>
      </c>
      <c r="I50" s="5">
        <f t="shared" si="1"/>
        <v>-4.027944426989085E-3</v>
      </c>
      <c r="K50" s="5">
        <f t="shared" si="2"/>
        <v>48</v>
      </c>
      <c r="L50" s="5">
        <v>-4.3256291345385306E-2</v>
      </c>
    </row>
    <row r="51" spans="1:12" x14ac:dyDescent="0.25">
      <c r="A51" s="1">
        <v>43801</v>
      </c>
      <c r="B51">
        <v>314.3900146484375</v>
      </c>
      <c r="C51">
        <v>314.3900146484375</v>
      </c>
      <c r="D51">
        <v>303.75</v>
      </c>
      <c r="E51">
        <v>309.989990234375</v>
      </c>
      <c r="F51">
        <v>309.989990234375</v>
      </c>
      <c r="G51">
        <v>6218800</v>
      </c>
      <c r="I51" s="5">
        <f t="shared" si="1"/>
        <v>-1.4952695059242738E-2</v>
      </c>
      <c r="K51" s="5">
        <f t="shared" si="2"/>
        <v>49</v>
      </c>
      <c r="L51" s="5">
        <v>-4.2760632977711238E-2</v>
      </c>
    </row>
    <row r="52" spans="1:12" x14ac:dyDescent="0.25">
      <c r="A52" s="1">
        <v>43802</v>
      </c>
      <c r="B52">
        <v>302.22000122070313</v>
      </c>
      <c r="C52">
        <v>307.3599853515625</v>
      </c>
      <c r="D52">
        <v>301.8800048828125</v>
      </c>
      <c r="E52">
        <v>306.16000366210938</v>
      </c>
      <c r="F52">
        <v>306.16000366210938</v>
      </c>
      <c r="G52">
        <v>4992800</v>
      </c>
      <c r="I52" s="5">
        <f t="shared" si="1"/>
        <v>-1.2432154312470252E-2</v>
      </c>
      <c r="K52" s="5">
        <f t="shared" si="2"/>
        <v>50</v>
      </c>
      <c r="L52" s="5">
        <v>-4.2681278314765266E-2</v>
      </c>
    </row>
    <row r="53" spans="1:12" x14ac:dyDescent="0.25">
      <c r="A53" s="1">
        <v>43803</v>
      </c>
      <c r="B53">
        <v>308.42999267578125</v>
      </c>
      <c r="C53">
        <v>308.42999267578125</v>
      </c>
      <c r="D53">
        <v>303.26998901367188</v>
      </c>
      <c r="E53">
        <v>304.32000732421875</v>
      </c>
      <c r="F53">
        <v>304.32000732421875</v>
      </c>
      <c r="G53">
        <v>3512100</v>
      </c>
      <c r="I53" s="5">
        <f t="shared" si="1"/>
        <v>-6.0280496543542381E-3</v>
      </c>
      <c r="K53" s="5">
        <f t="shared" si="2"/>
        <v>51</v>
      </c>
      <c r="L53" s="5">
        <v>-4.2662810335515312E-2</v>
      </c>
    </row>
    <row r="54" spans="1:12" x14ac:dyDescent="0.25">
      <c r="A54" s="1">
        <v>43804</v>
      </c>
      <c r="B54">
        <v>305.26998901367188</v>
      </c>
      <c r="C54">
        <v>306.48001098632813</v>
      </c>
      <c r="D54">
        <v>298.80999755859375</v>
      </c>
      <c r="E54">
        <v>302.8599853515625</v>
      </c>
      <c r="F54">
        <v>302.8599853515625</v>
      </c>
      <c r="G54">
        <v>4615500</v>
      </c>
      <c r="I54" s="5">
        <f t="shared" si="1"/>
        <v>-4.8091992630335464E-3</v>
      </c>
      <c r="K54" s="5">
        <f t="shared" si="2"/>
        <v>52</v>
      </c>
      <c r="L54" s="5">
        <v>-4.2541086913501461E-2</v>
      </c>
    </row>
    <row r="55" spans="1:12" x14ac:dyDescent="0.25">
      <c r="A55" s="1">
        <v>43805</v>
      </c>
      <c r="B55">
        <v>304.70001220703125</v>
      </c>
      <c r="C55">
        <v>307.85000610351563</v>
      </c>
      <c r="D55">
        <v>302.60000610351563</v>
      </c>
      <c r="E55">
        <v>307.35000610351563</v>
      </c>
      <c r="F55">
        <v>307.35000610351563</v>
      </c>
      <c r="G55">
        <v>4457800</v>
      </c>
      <c r="I55" s="5">
        <f t="shared" si="1"/>
        <v>1.4716579050054463E-2</v>
      </c>
      <c r="K55" s="5">
        <f t="shared" si="2"/>
        <v>53</v>
      </c>
      <c r="L55" s="5">
        <v>-4.1713965404895519E-2</v>
      </c>
    </row>
    <row r="56" spans="1:12" x14ac:dyDescent="0.25">
      <c r="A56" s="1">
        <v>43808</v>
      </c>
      <c r="B56">
        <v>307.35000610351563</v>
      </c>
      <c r="C56">
        <v>311.489990234375</v>
      </c>
      <c r="D56">
        <v>302.44000244140625</v>
      </c>
      <c r="E56">
        <v>302.5</v>
      </c>
      <c r="F56">
        <v>302.5</v>
      </c>
      <c r="G56">
        <v>5748400</v>
      </c>
      <c r="I56" s="5">
        <f t="shared" si="1"/>
        <v>-1.590590574064046E-2</v>
      </c>
      <c r="K56" s="5">
        <f t="shared" si="2"/>
        <v>54</v>
      </c>
      <c r="L56" s="5">
        <v>-4.0793808167992086E-2</v>
      </c>
    </row>
    <row r="57" spans="1:12" x14ac:dyDescent="0.25">
      <c r="A57" s="1">
        <v>43809</v>
      </c>
      <c r="B57">
        <v>296.1199951171875</v>
      </c>
      <c r="C57">
        <v>298.94000244140625</v>
      </c>
      <c r="D57">
        <v>292.01998901367188</v>
      </c>
      <c r="E57">
        <v>293.1199951171875</v>
      </c>
      <c r="F57">
        <v>293.1199951171875</v>
      </c>
      <c r="G57">
        <v>10476100</v>
      </c>
      <c r="I57" s="5">
        <f t="shared" si="1"/>
        <v>-3.1499212643197466E-2</v>
      </c>
      <c r="K57" s="5">
        <f t="shared" si="2"/>
        <v>55</v>
      </c>
      <c r="L57" s="5">
        <v>-3.995695135915521E-2</v>
      </c>
    </row>
    <row r="58" spans="1:12" x14ac:dyDescent="0.25">
      <c r="A58" s="1">
        <v>43810</v>
      </c>
      <c r="B58">
        <v>294.489990234375</v>
      </c>
      <c r="C58">
        <v>299.42999267578125</v>
      </c>
      <c r="D58">
        <v>294.20001220703125</v>
      </c>
      <c r="E58">
        <v>298.92999267578125</v>
      </c>
      <c r="F58">
        <v>298.92999267578125</v>
      </c>
      <c r="G58">
        <v>5589800</v>
      </c>
      <c r="I58" s="5">
        <f t="shared" si="1"/>
        <v>1.9627342940268733E-2</v>
      </c>
      <c r="K58" s="5">
        <f t="shared" si="2"/>
        <v>56</v>
      </c>
      <c r="L58" s="5">
        <v>-3.9811403986932517E-2</v>
      </c>
    </row>
    <row r="59" spans="1:12" x14ac:dyDescent="0.25">
      <c r="A59" s="1">
        <v>43811</v>
      </c>
      <c r="B59">
        <v>295.67001342773438</v>
      </c>
      <c r="C59">
        <v>299.17001342773438</v>
      </c>
      <c r="D59">
        <v>295.05999755859375</v>
      </c>
      <c r="E59">
        <v>298.44000244140625</v>
      </c>
      <c r="F59">
        <v>298.44000244140625</v>
      </c>
      <c r="G59">
        <v>4766600</v>
      </c>
      <c r="I59" s="5">
        <f t="shared" si="1"/>
        <v>-1.640491984094149E-3</v>
      </c>
      <c r="K59" s="5">
        <f t="shared" si="2"/>
        <v>57</v>
      </c>
      <c r="L59" s="5">
        <v>-3.9807039220482864E-2</v>
      </c>
    </row>
    <row r="60" spans="1:12" x14ac:dyDescent="0.25">
      <c r="A60" s="1">
        <v>43812</v>
      </c>
      <c r="B60">
        <v>298.5</v>
      </c>
      <c r="C60">
        <v>301.79998779296875</v>
      </c>
      <c r="D60">
        <v>297.25</v>
      </c>
      <c r="E60">
        <v>298.5</v>
      </c>
      <c r="F60">
        <v>298.5</v>
      </c>
      <c r="G60">
        <v>3879700</v>
      </c>
      <c r="I60" s="5">
        <f t="shared" si="1"/>
        <v>2.0101704878337686E-4</v>
      </c>
      <c r="K60" s="5">
        <f t="shared" si="2"/>
        <v>58</v>
      </c>
      <c r="L60" s="5">
        <v>-3.9806364840901297E-2</v>
      </c>
    </row>
    <row r="61" spans="1:12" x14ac:dyDescent="0.25">
      <c r="A61" s="1">
        <v>43815</v>
      </c>
      <c r="B61">
        <v>300.85000610351563</v>
      </c>
      <c r="C61">
        <v>305.70999145507813</v>
      </c>
      <c r="D61">
        <v>298.6300048828125</v>
      </c>
      <c r="E61">
        <v>304.20999145507813</v>
      </c>
      <c r="F61">
        <v>304.20999145507813</v>
      </c>
      <c r="G61">
        <v>4658900</v>
      </c>
      <c r="I61" s="5">
        <f t="shared" si="1"/>
        <v>1.8948291473130478E-2</v>
      </c>
      <c r="K61" s="5">
        <f t="shared" si="2"/>
        <v>59</v>
      </c>
      <c r="L61" s="5">
        <v>-3.9778468431795409E-2</v>
      </c>
    </row>
    <row r="62" spans="1:12" x14ac:dyDescent="0.25">
      <c r="A62" s="1">
        <v>43816</v>
      </c>
      <c r="B62">
        <v>307.3599853515625</v>
      </c>
      <c r="C62">
        <v>316.79998779296875</v>
      </c>
      <c r="D62">
        <v>306.60000610351563</v>
      </c>
      <c r="E62">
        <v>315.48001098632813</v>
      </c>
      <c r="F62">
        <v>315.48001098632813</v>
      </c>
      <c r="G62">
        <v>10427100</v>
      </c>
      <c r="I62" s="5">
        <f t="shared" si="1"/>
        <v>3.6377099048168923E-2</v>
      </c>
      <c r="K62" s="5">
        <f t="shared" si="2"/>
        <v>60</v>
      </c>
      <c r="L62" s="5">
        <v>-3.9659067134638563E-2</v>
      </c>
    </row>
    <row r="63" spans="1:12" x14ac:dyDescent="0.25">
      <c r="A63" s="1">
        <v>43817</v>
      </c>
      <c r="B63">
        <v>316.260009765625</v>
      </c>
      <c r="C63">
        <v>325.3599853515625</v>
      </c>
      <c r="D63">
        <v>315.60000610351563</v>
      </c>
      <c r="E63">
        <v>320.79998779296875</v>
      </c>
      <c r="F63">
        <v>320.79998779296875</v>
      </c>
      <c r="G63">
        <v>11207400</v>
      </c>
      <c r="I63" s="5">
        <f t="shared" si="1"/>
        <v>1.672251458655943E-2</v>
      </c>
      <c r="K63" s="5">
        <f t="shared" si="2"/>
        <v>61</v>
      </c>
      <c r="L63" s="5">
        <v>-3.960288207975364E-2</v>
      </c>
    </row>
    <row r="64" spans="1:12" x14ac:dyDescent="0.25">
      <c r="A64" s="1">
        <v>43818</v>
      </c>
      <c r="B64">
        <v>324.5</v>
      </c>
      <c r="C64">
        <v>332.82998657226563</v>
      </c>
      <c r="D64">
        <v>324.17999267578125</v>
      </c>
      <c r="E64">
        <v>332.22000122070313</v>
      </c>
      <c r="F64">
        <v>332.22000122070313</v>
      </c>
      <c r="G64">
        <v>9822300</v>
      </c>
      <c r="I64" s="5">
        <f t="shared" si="1"/>
        <v>3.4979565796797063E-2</v>
      </c>
      <c r="K64" s="5">
        <f t="shared" si="2"/>
        <v>62</v>
      </c>
      <c r="L64" s="5">
        <v>-3.8614869459476023E-2</v>
      </c>
    </row>
    <row r="65" spans="1:12" x14ac:dyDescent="0.25">
      <c r="A65" s="1">
        <v>43819</v>
      </c>
      <c r="B65">
        <v>335</v>
      </c>
      <c r="C65">
        <v>338</v>
      </c>
      <c r="D65">
        <v>330.60000610351563</v>
      </c>
      <c r="E65">
        <v>336.89999389648438</v>
      </c>
      <c r="F65">
        <v>336.89999389648438</v>
      </c>
      <c r="G65">
        <v>9914900</v>
      </c>
      <c r="I65" s="5">
        <f t="shared" si="1"/>
        <v>1.3988728558496241E-2</v>
      </c>
      <c r="K65" s="5">
        <f t="shared" si="2"/>
        <v>63</v>
      </c>
      <c r="L65" s="5">
        <v>-3.8481594498964246E-2</v>
      </c>
    </row>
    <row r="66" spans="1:12" x14ac:dyDescent="0.25">
      <c r="A66" s="1">
        <v>43822</v>
      </c>
      <c r="B66">
        <v>337.760009765625</v>
      </c>
      <c r="C66">
        <v>337.95001220703125</v>
      </c>
      <c r="D66">
        <v>331.01998901367188</v>
      </c>
      <c r="E66">
        <v>333.10000610351563</v>
      </c>
      <c r="F66">
        <v>333.10000610351563</v>
      </c>
      <c r="G66">
        <v>5765300</v>
      </c>
      <c r="I66" s="5">
        <f t="shared" si="1"/>
        <v>-1.1343368772801794E-2</v>
      </c>
      <c r="K66" s="5">
        <f t="shared" si="2"/>
        <v>64</v>
      </c>
      <c r="L66" s="5">
        <v>-3.8316314834963151E-2</v>
      </c>
    </row>
    <row r="67" spans="1:12" x14ac:dyDescent="0.25">
      <c r="A67" s="1">
        <v>43823</v>
      </c>
      <c r="B67">
        <v>334.010009765625</v>
      </c>
      <c r="C67">
        <v>335.70001220703125</v>
      </c>
      <c r="D67">
        <v>331.60000610351563</v>
      </c>
      <c r="E67">
        <v>333.20001220703125</v>
      </c>
      <c r="F67">
        <v>333.20001220703125</v>
      </c>
      <c r="G67">
        <v>2019300</v>
      </c>
      <c r="I67" s="5">
        <f t="shared" si="1"/>
        <v>3.0018340542786162E-4</v>
      </c>
      <c r="K67" s="5">
        <f t="shared" si="2"/>
        <v>65</v>
      </c>
      <c r="L67" s="5">
        <v>-3.8255071397500749E-2</v>
      </c>
    </row>
    <row r="68" spans="1:12" x14ac:dyDescent="0.25">
      <c r="A68" s="1">
        <v>43825</v>
      </c>
      <c r="B68">
        <v>334.60000610351563</v>
      </c>
      <c r="C68">
        <v>336.45999145507813</v>
      </c>
      <c r="D68">
        <v>332.010009765625</v>
      </c>
      <c r="E68">
        <v>332.6300048828125</v>
      </c>
      <c r="F68">
        <v>332.6300048828125</v>
      </c>
      <c r="G68">
        <v>3589900</v>
      </c>
      <c r="I68" s="5">
        <f t="shared" ref="I68:I131" si="8">LN(F68/F67)</f>
        <v>-1.7121711212707595E-3</v>
      </c>
      <c r="K68" s="5">
        <f t="shared" ref="K68:K131" si="9">_xlfn.RANK.AVG(L68,_xlfn.ANCHORARRAY($L$3),1)</f>
        <v>66</v>
      </c>
      <c r="L68" s="5">
        <v>-3.8188513153675156E-2</v>
      </c>
    </row>
    <row r="69" spans="1:12" x14ac:dyDescent="0.25">
      <c r="A69" s="1">
        <v>43826</v>
      </c>
      <c r="B69">
        <v>332.95999145507813</v>
      </c>
      <c r="C69">
        <v>333.82000732421875</v>
      </c>
      <c r="D69">
        <v>326.010009765625</v>
      </c>
      <c r="E69">
        <v>329.08999633789063</v>
      </c>
      <c r="F69">
        <v>329.08999633789063</v>
      </c>
      <c r="G69">
        <v>5036100</v>
      </c>
      <c r="I69" s="5">
        <f t="shared" si="8"/>
        <v>-1.0699517348460268E-2</v>
      </c>
      <c r="K69" s="5">
        <f t="shared" si="9"/>
        <v>67</v>
      </c>
      <c r="L69" s="5">
        <v>-3.7887320070710877E-2</v>
      </c>
    </row>
    <row r="70" spans="1:12" x14ac:dyDescent="0.25">
      <c r="A70" s="1">
        <v>43829</v>
      </c>
      <c r="B70">
        <v>329.07998657226563</v>
      </c>
      <c r="C70">
        <v>329.19000244140625</v>
      </c>
      <c r="D70">
        <v>322.8599853515625</v>
      </c>
      <c r="E70">
        <v>323.30999755859375</v>
      </c>
      <c r="F70">
        <v>323.30999755859375</v>
      </c>
      <c r="G70">
        <v>4311500</v>
      </c>
      <c r="I70" s="5">
        <f t="shared" si="8"/>
        <v>-1.7719650733139851E-2</v>
      </c>
      <c r="K70" s="5">
        <f t="shared" si="9"/>
        <v>68</v>
      </c>
      <c r="L70" s="5">
        <v>-3.7820350901035707E-2</v>
      </c>
    </row>
    <row r="71" spans="1:12" x14ac:dyDescent="0.25">
      <c r="A71" s="1">
        <v>43830</v>
      </c>
      <c r="B71">
        <v>322</v>
      </c>
      <c r="C71">
        <v>324.92001342773438</v>
      </c>
      <c r="D71">
        <v>321.08999633789063</v>
      </c>
      <c r="E71">
        <v>323.57000732421875</v>
      </c>
      <c r="F71">
        <v>323.57000732421875</v>
      </c>
      <c r="G71">
        <v>3713300</v>
      </c>
      <c r="I71" s="5">
        <f t="shared" si="8"/>
        <v>8.0388875112769899E-4</v>
      </c>
      <c r="K71" s="5">
        <f t="shared" si="9"/>
        <v>69</v>
      </c>
      <c r="L71" s="5">
        <v>-3.7609020702160573E-2</v>
      </c>
    </row>
    <row r="72" spans="1:12" x14ac:dyDescent="0.25">
      <c r="A72" s="1">
        <v>43832</v>
      </c>
      <c r="B72">
        <v>326.10000610351563</v>
      </c>
      <c r="C72">
        <v>329.98001098632813</v>
      </c>
      <c r="D72">
        <v>324.77999877929688</v>
      </c>
      <c r="E72">
        <v>329.80999755859375</v>
      </c>
      <c r="F72">
        <v>329.80999755859375</v>
      </c>
      <c r="G72">
        <v>4485800</v>
      </c>
      <c r="I72" s="5">
        <f t="shared" si="8"/>
        <v>1.9101227193572795E-2</v>
      </c>
      <c r="K72" s="5">
        <f t="shared" si="9"/>
        <v>70</v>
      </c>
      <c r="L72" s="5">
        <v>-3.7517857669173156E-2</v>
      </c>
    </row>
    <row r="73" spans="1:12" x14ac:dyDescent="0.25">
      <c r="A73" s="1">
        <v>43833</v>
      </c>
      <c r="B73">
        <v>326.77999877929688</v>
      </c>
      <c r="C73">
        <v>329.8599853515625</v>
      </c>
      <c r="D73">
        <v>325.52999877929688</v>
      </c>
      <c r="E73">
        <v>325.89999389648438</v>
      </c>
      <c r="F73">
        <v>325.89999389648438</v>
      </c>
      <c r="G73">
        <v>3806900</v>
      </c>
      <c r="I73" s="5">
        <f t="shared" si="8"/>
        <v>-1.1926156554934144E-2</v>
      </c>
      <c r="K73" s="5">
        <f t="shared" si="9"/>
        <v>71</v>
      </c>
      <c r="L73" s="5">
        <v>-3.7436758910326107E-2</v>
      </c>
    </row>
    <row r="74" spans="1:12" x14ac:dyDescent="0.25">
      <c r="A74" s="1">
        <v>43836</v>
      </c>
      <c r="B74">
        <v>323.1199951171875</v>
      </c>
      <c r="C74">
        <v>336.3599853515625</v>
      </c>
      <c r="D74">
        <v>321.20001220703125</v>
      </c>
      <c r="E74">
        <v>335.82998657226563</v>
      </c>
      <c r="F74">
        <v>335.82998657226563</v>
      </c>
      <c r="G74">
        <v>5663100</v>
      </c>
      <c r="I74" s="5">
        <f t="shared" si="8"/>
        <v>3.0014472446100924E-2</v>
      </c>
      <c r="K74" s="5">
        <f t="shared" si="9"/>
        <v>72</v>
      </c>
      <c r="L74" s="5">
        <v>-3.7267027077612432E-2</v>
      </c>
    </row>
    <row r="75" spans="1:12" x14ac:dyDescent="0.25">
      <c r="A75" s="1">
        <v>43837</v>
      </c>
      <c r="B75">
        <v>336.47000122070313</v>
      </c>
      <c r="C75">
        <v>336.70001220703125</v>
      </c>
      <c r="D75">
        <v>330.29998779296875</v>
      </c>
      <c r="E75">
        <v>330.75</v>
      </c>
      <c r="F75">
        <v>330.75</v>
      </c>
      <c r="G75">
        <v>4703200</v>
      </c>
      <c r="I75" s="5">
        <f t="shared" si="8"/>
        <v>-1.5242236566366132E-2</v>
      </c>
      <c r="K75" s="5">
        <f t="shared" si="9"/>
        <v>73</v>
      </c>
      <c r="L75" s="5">
        <v>-3.6473861633477225E-2</v>
      </c>
    </row>
    <row r="76" spans="1:12" x14ac:dyDescent="0.25">
      <c r="A76" s="1">
        <v>43838</v>
      </c>
      <c r="B76">
        <v>331.489990234375</v>
      </c>
      <c r="C76">
        <v>342.70001220703125</v>
      </c>
      <c r="D76">
        <v>331.04998779296875</v>
      </c>
      <c r="E76">
        <v>339.260009765625</v>
      </c>
      <c r="F76">
        <v>339.260009765625</v>
      </c>
      <c r="G76">
        <v>7104500</v>
      </c>
      <c r="I76" s="5">
        <f t="shared" si="8"/>
        <v>2.5404000857587573E-2</v>
      </c>
      <c r="K76" s="5">
        <f t="shared" si="9"/>
        <v>74</v>
      </c>
      <c r="L76" s="5">
        <v>-3.6196344589841022E-2</v>
      </c>
    </row>
    <row r="77" spans="1:12" x14ac:dyDescent="0.25">
      <c r="A77" s="1">
        <v>43839</v>
      </c>
      <c r="B77">
        <v>342</v>
      </c>
      <c r="C77">
        <v>343.42001342773438</v>
      </c>
      <c r="D77">
        <v>334.6099853515625</v>
      </c>
      <c r="E77">
        <v>335.66000366210938</v>
      </c>
      <c r="F77">
        <v>335.66000366210938</v>
      </c>
      <c r="G77">
        <v>4709300</v>
      </c>
      <c r="I77" s="5">
        <f t="shared" si="8"/>
        <v>-1.0668050062444506E-2</v>
      </c>
      <c r="K77" s="5">
        <f t="shared" si="9"/>
        <v>75</v>
      </c>
      <c r="L77" s="5">
        <v>-3.5871631012635082E-2</v>
      </c>
    </row>
    <row r="78" spans="1:12" x14ac:dyDescent="0.25">
      <c r="A78" s="1">
        <v>43840</v>
      </c>
      <c r="B78">
        <v>337.1300048828125</v>
      </c>
      <c r="C78">
        <v>338.5</v>
      </c>
      <c r="D78">
        <v>327.26998901367188</v>
      </c>
      <c r="E78">
        <v>329.04998779296875</v>
      </c>
      <c r="F78">
        <v>329.04998779296875</v>
      </c>
      <c r="G78">
        <v>4718300</v>
      </c>
      <c r="I78" s="5">
        <f t="shared" si="8"/>
        <v>-1.9889075985881261E-2</v>
      </c>
      <c r="K78" s="5">
        <f t="shared" si="9"/>
        <v>76</v>
      </c>
      <c r="L78" s="5">
        <v>-3.572636880528985E-2</v>
      </c>
    </row>
    <row r="79" spans="1:12" x14ac:dyDescent="0.25">
      <c r="A79" s="1">
        <v>43843</v>
      </c>
      <c r="B79">
        <v>331.79998779296875</v>
      </c>
      <c r="C79">
        <v>340.85000610351563</v>
      </c>
      <c r="D79">
        <v>331.510009765625</v>
      </c>
      <c r="E79">
        <v>338.92001342773438</v>
      </c>
      <c r="F79">
        <v>338.92001342773438</v>
      </c>
      <c r="G79">
        <v>6290000</v>
      </c>
      <c r="I79" s="5">
        <f t="shared" si="8"/>
        <v>2.9554453145121267E-2</v>
      </c>
      <c r="K79" s="5">
        <f t="shared" si="9"/>
        <v>77</v>
      </c>
      <c r="L79" s="5">
        <v>-3.5073515042567428E-2</v>
      </c>
    </row>
    <row r="80" spans="1:12" x14ac:dyDescent="0.25">
      <c r="A80" s="1">
        <v>43844</v>
      </c>
      <c r="B80">
        <v>344.39999389648438</v>
      </c>
      <c r="C80">
        <v>345.3800048828125</v>
      </c>
      <c r="D80">
        <v>335.51998901367188</v>
      </c>
      <c r="E80">
        <v>338.69000244140625</v>
      </c>
      <c r="F80">
        <v>338.69000244140625</v>
      </c>
      <c r="G80">
        <v>7199400</v>
      </c>
      <c r="I80" s="5">
        <f t="shared" si="8"/>
        <v>-6.7888900628847474E-4</v>
      </c>
      <c r="K80" s="5">
        <f t="shared" si="9"/>
        <v>78</v>
      </c>
      <c r="L80" s="5">
        <v>-3.4739156740942218E-2</v>
      </c>
    </row>
    <row r="81" spans="1:12" x14ac:dyDescent="0.25">
      <c r="A81" s="1">
        <v>43845</v>
      </c>
      <c r="B81">
        <v>338.67999267578125</v>
      </c>
      <c r="C81">
        <v>343.17001342773438</v>
      </c>
      <c r="D81">
        <v>336.60000610351563</v>
      </c>
      <c r="E81">
        <v>339.07000732421875</v>
      </c>
      <c r="F81">
        <v>339.07000732421875</v>
      </c>
      <c r="G81">
        <v>5158000</v>
      </c>
      <c r="I81" s="5">
        <f t="shared" si="8"/>
        <v>1.1213553976526902E-3</v>
      </c>
      <c r="K81" s="5">
        <f t="shared" si="9"/>
        <v>79</v>
      </c>
      <c r="L81" s="5">
        <v>-3.4631374977552087E-2</v>
      </c>
    </row>
    <row r="82" spans="1:12" x14ac:dyDescent="0.25">
      <c r="A82" s="1">
        <v>43846</v>
      </c>
      <c r="B82">
        <v>343.5</v>
      </c>
      <c r="C82">
        <v>343.55999755859375</v>
      </c>
      <c r="D82">
        <v>335.85000610351563</v>
      </c>
      <c r="E82">
        <v>338.6199951171875</v>
      </c>
      <c r="F82">
        <v>338.6199951171875</v>
      </c>
      <c r="G82">
        <v>5016000</v>
      </c>
      <c r="I82" s="5">
        <f t="shared" si="8"/>
        <v>-1.3280770604670129E-3</v>
      </c>
      <c r="K82" s="5">
        <f t="shared" si="9"/>
        <v>80</v>
      </c>
      <c r="L82" s="5">
        <v>-3.4623766096919223E-2</v>
      </c>
    </row>
    <row r="83" spans="1:12" x14ac:dyDescent="0.25">
      <c r="A83" s="1">
        <v>43847</v>
      </c>
      <c r="B83">
        <v>341</v>
      </c>
      <c r="C83">
        <v>341.57000732421875</v>
      </c>
      <c r="D83">
        <v>337.3800048828125</v>
      </c>
      <c r="E83">
        <v>339.67001342773438</v>
      </c>
      <c r="F83">
        <v>339.67001342773438</v>
      </c>
      <c r="G83">
        <v>6066500</v>
      </c>
      <c r="I83" s="5">
        <f t="shared" si="8"/>
        <v>3.096077300511028E-3</v>
      </c>
      <c r="K83" s="5">
        <f t="shared" si="9"/>
        <v>81</v>
      </c>
      <c r="L83" s="5">
        <v>-3.4520905328901376E-2</v>
      </c>
    </row>
    <row r="84" spans="1:12" x14ac:dyDescent="0.25">
      <c r="A84" s="1">
        <v>43851</v>
      </c>
      <c r="B84">
        <v>340</v>
      </c>
      <c r="C84">
        <v>341</v>
      </c>
      <c r="D84">
        <v>332.58999633789063</v>
      </c>
      <c r="E84">
        <v>338.1099853515625</v>
      </c>
      <c r="F84">
        <v>338.1099853515625</v>
      </c>
      <c r="G84">
        <v>14350300</v>
      </c>
      <c r="I84" s="5">
        <f t="shared" si="8"/>
        <v>-4.6033545806712615E-3</v>
      </c>
      <c r="K84" s="5">
        <f t="shared" si="9"/>
        <v>82</v>
      </c>
      <c r="L84" s="5">
        <v>-3.4478455432836133E-2</v>
      </c>
    </row>
    <row r="85" spans="1:12" x14ac:dyDescent="0.25">
      <c r="A85" s="1">
        <v>43852</v>
      </c>
      <c r="B85">
        <v>332.54998779296875</v>
      </c>
      <c r="C85">
        <v>336.29998779296875</v>
      </c>
      <c r="D85">
        <v>323.60000610351563</v>
      </c>
      <c r="E85">
        <v>326</v>
      </c>
      <c r="F85">
        <v>326</v>
      </c>
      <c r="G85">
        <v>21730000</v>
      </c>
      <c r="I85" s="5">
        <f t="shared" si="8"/>
        <v>-3.6473861633477225E-2</v>
      </c>
      <c r="K85" s="5">
        <f t="shared" si="9"/>
        <v>83</v>
      </c>
      <c r="L85" s="5">
        <v>-3.4118450602631224E-2</v>
      </c>
    </row>
    <row r="86" spans="1:12" x14ac:dyDescent="0.25">
      <c r="A86" s="1">
        <v>43853</v>
      </c>
      <c r="B86">
        <v>326.04000854492188</v>
      </c>
      <c r="C86">
        <v>349.8800048828125</v>
      </c>
      <c r="D86">
        <v>325.010009765625</v>
      </c>
      <c r="E86">
        <v>349.60000610351563</v>
      </c>
      <c r="F86">
        <v>349.60000610351563</v>
      </c>
      <c r="G86">
        <v>18200300</v>
      </c>
      <c r="I86" s="5">
        <f t="shared" si="8"/>
        <v>6.9892279873241273E-2</v>
      </c>
      <c r="K86" s="5">
        <f t="shared" si="9"/>
        <v>84</v>
      </c>
      <c r="L86" s="5">
        <v>-3.4109607145336049E-2</v>
      </c>
    </row>
    <row r="87" spans="1:12" x14ac:dyDescent="0.25">
      <c r="A87" s="1">
        <v>43854</v>
      </c>
      <c r="B87">
        <v>348.45999145507813</v>
      </c>
      <c r="C87">
        <v>359.85000610351563</v>
      </c>
      <c r="D87">
        <v>345.8800048828125</v>
      </c>
      <c r="E87">
        <v>353.16000366210938</v>
      </c>
      <c r="F87">
        <v>353.16000366210938</v>
      </c>
      <c r="G87">
        <v>17939700</v>
      </c>
      <c r="I87" s="5">
        <f t="shared" si="8"/>
        <v>1.0131561162980106E-2</v>
      </c>
      <c r="K87" s="5">
        <f t="shared" si="9"/>
        <v>85</v>
      </c>
      <c r="L87" s="5">
        <v>-3.3972184842534593E-2</v>
      </c>
    </row>
    <row r="88" spans="1:12" x14ac:dyDescent="0.25">
      <c r="A88" s="1">
        <v>43857</v>
      </c>
      <c r="B88">
        <v>345.95001220703125</v>
      </c>
      <c r="C88">
        <v>351.89999389648438</v>
      </c>
      <c r="D88">
        <v>341.01998901367188</v>
      </c>
      <c r="E88">
        <v>342.8800048828125</v>
      </c>
      <c r="F88">
        <v>342.8800048828125</v>
      </c>
      <c r="G88">
        <v>7709500</v>
      </c>
      <c r="I88" s="5">
        <f t="shared" si="8"/>
        <v>-2.9540676437075263E-2</v>
      </c>
      <c r="K88" s="5">
        <f t="shared" si="9"/>
        <v>86</v>
      </c>
      <c r="L88" s="5">
        <v>-3.3608630687497365E-2</v>
      </c>
    </row>
    <row r="89" spans="1:12" x14ac:dyDescent="0.25">
      <c r="A89" s="1">
        <v>43858</v>
      </c>
      <c r="B89">
        <v>345.8800048828125</v>
      </c>
      <c r="C89">
        <v>352.39999389648438</v>
      </c>
      <c r="D89">
        <v>342.77999877929688</v>
      </c>
      <c r="E89">
        <v>348.51998901367188</v>
      </c>
      <c r="F89">
        <v>348.51998901367188</v>
      </c>
      <c r="G89">
        <v>6821600</v>
      </c>
      <c r="I89" s="5">
        <f t="shared" si="8"/>
        <v>1.6315039874426257E-2</v>
      </c>
      <c r="K89" s="5">
        <f t="shared" si="9"/>
        <v>87</v>
      </c>
      <c r="L89" s="5">
        <v>-3.3606328570916652E-2</v>
      </c>
    </row>
    <row r="90" spans="1:12" x14ac:dyDescent="0.25">
      <c r="A90" s="1">
        <v>43859</v>
      </c>
      <c r="B90">
        <v>349</v>
      </c>
      <c r="C90">
        <v>349.39999389648438</v>
      </c>
      <c r="D90">
        <v>338.54998779296875</v>
      </c>
      <c r="E90">
        <v>343.16000366210938</v>
      </c>
      <c r="F90">
        <v>343.16000366210938</v>
      </c>
      <c r="G90">
        <v>7643500</v>
      </c>
      <c r="I90" s="5">
        <f t="shared" si="8"/>
        <v>-1.5498764463790114E-2</v>
      </c>
      <c r="K90" s="5">
        <f t="shared" si="9"/>
        <v>88</v>
      </c>
      <c r="L90" s="5">
        <v>-3.3352984389638983E-2</v>
      </c>
    </row>
    <row r="91" spans="1:12" x14ac:dyDescent="0.25">
      <c r="A91" s="1">
        <v>43860</v>
      </c>
      <c r="B91">
        <v>341.10000610351563</v>
      </c>
      <c r="C91">
        <v>348.20001220703125</v>
      </c>
      <c r="D91">
        <v>339.25</v>
      </c>
      <c r="E91">
        <v>347.739990234375</v>
      </c>
      <c r="F91">
        <v>347.739990234375</v>
      </c>
      <c r="G91">
        <v>5328100</v>
      </c>
      <c r="I91" s="5">
        <f t="shared" si="8"/>
        <v>1.3258224640030699E-2</v>
      </c>
      <c r="K91" s="5">
        <f t="shared" si="9"/>
        <v>89</v>
      </c>
      <c r="L91" s="5">
        <v>-3.3271878707703033E-2</v>
      </c>
    </row>
    <row r="92" spans="1:12" x14ac:dyDescent="0.25">
      <c r="A92" s="1">
        <v>43861</v>
      </c>
      <c r="B92">
        <v>347.3900146484375</v>
      </c>
      <c r="C92">
        <v>347.3900146484375</v>
      </c>
      <c r="D92">
        <v>340.98001098632813</v>
      </c>
      <c r="E92">
        <v>345.08999633789063</v>
      </c>
      <c r="F92">
        <v>345.08999633789063</v>
      </c>
      <c r="G92">
        <v>5230000</v>
      </c>
      <c r="I92" s="5">
        <f t="shared" si="8"/>
        <v>-7.6498040525337339E-3</v>
      </c>
      <c r="K92" s="5">
        <f t="shared" si="9"/>
        <v>90</v>
      </c>
      <c r="L92" s="5">
        <v>-3.2863333429851482E-2</v>
      </c>
    </row>
    <row r="93" spans="1:12" x14ac:dyDescent="0.25">
      <c r="A93" s="1">
        <v>43864</v>
      </c>
      <c r="B93">
        <v>347.239990234375</v>
      </c>
      <c r="C93">
        <v>359.6300048828125</v>
      </c>
      <c r="D93">
        <v>346.27999877929688</v>
      </c>
      <c r="E93">
        <v>358</v>
      </c>
      <c r="F93">
        <v>358</v>
      </c>
      <c r="G93">
        <v>6670600</v>
      </c>
      <c r="I93" s="5">
        <f t="shared" si="8"/>
        <v>3.6727744436713124E-2</v>
      </c>
      <c r="K93" s="5">
        <f t="shared" si="9"/>
        <v>91</v>
      </c>
      <c r="L93" s="5">
        <v>-3.2757454397318093E-2</v>
      </c>
    </row>
    <row r="94" spans="1:12" x14ac:dyDescent="0.25">
      <c r="A94" s="1">
        <v>43865</v>
      </c>
      <c r="B94">
        <v>361</v>
      </c>
      <c r="C94">
        <v>369.57000732421875</v>
      </c>
      <c r="D94">
        <v>356.10000610351563</v>
      </c>
      <c r="E94">
        <v>369.010009765625</v>
      </c>
      <c r="F94">
        <v>369.010009765625</v>
      </c>
      <c r="G94">
        <v>7161500</v>
      </c>
      <c r="I94" s="5">
        <f t="shared" si="8"/>
        <v>3.0290784008014764E-2</v>
      </c>
      <c r="K94" s="5">
        <f t="shared" si="9"/>
        <v>92</v>
      </c>
      <c r="L94" s="5">
        <v>-3.2222343828978463E-2</v>
      </c>
    </row>
    <row r="95" spans="1:12" x14ac:dyDescent="0.25">
      <c r="A95" s="1">
        <v>43866</v>
      </c>
      <c r="B95">
        <v>375.1300048828125</v>
      </c>
      <c r="C95">
        <v>375.25</v>
      </c>
      <c r="D95">
        <v>362.29998779296875</v>
      </c>
      <c r="E95">
        <v>369.67001342773438</v>
      </c>
      <c r="F95">
        <v>369.67001342773438</v>
      </c>
      <c r="G95">
        <v>6437000</v>
      </c>
      <c r="I95" s="5">
        <f t="shared" si="8"/>
        <v>1.7869816890100883E-3</v>
      </c>
      <c r="K95" s="5">
        <f t="shared" si="9"/>
        <v>93</v>
      </c>
      <c r="L95" s="5">
        <v>-3.2218666194477538E-2</v>
      </c>
    </row>
    <row r="96" spans="1:12" x14ac:dyDescent="0.25">
      <c r="A96" s="1">
        <v>43867</v>
      </c>
      <c r="B96">
        <v>369.60000610351563</v>
      </c>
      <c r="C96">
        <v>371.54998779296875</v>
      </c>
      <c r="D96">
        <v>362.510009765625</v>
      </c>
      <c r="E96">
        <v>366.95001220703125</v>
      </c>
      <c r="F96">
        <v>366.95001220703125</v>
      </c>
      <c r="G96">
        <v>3920400</v>
      </c>
      <c r="I96" s="5">
        <f t="shared" si="8"/>
        <v>-7.3851198404561395E-3</v>
      </c>
      <c r="K96" s="5">
        <f t="shared" si="9"/>
        <v>94</v>
      </c>
      <c r="L96" s="5">
        <v>-3.197703639036583E-2</v>
      </c>
    </row>
    <row r="97" spans="1:12" x14ac:dyDescent="0.25">
      <c r="A97" s="1">
        <v>43868</v>
      </c>
      <c r="B97">
        <v>365.04000854492188</v>
      </c>
      <c r="C97">
        <v>371.79998779296875</v>
      </c>
      <c r="D97">
        <v>363.57000732421875</v>
      </c>
      <c r="E97">
        <v>366.76998901367188</v>
      </c>
      <c r="F97">
        <v>366.76998901367188</v>
      </c>
      <c r="G97">
        <v>4385200</v>
      </c>
      <c r="I97" s="5">
        <f t="shared" si="8"/>
        <v>-4.9071361465494743E-4</v>
      </c>
      <c r="K97" s="5">
        <f t="shared" si="9"/>
        <v>95</v>
      </c>
      <c r="L97" s="5">
        <v>-3.1532305920196624E-2</v>
      </c>
    </row>
    <row r="98" spans="1:12" x14ac:dyDescent="0.25">
      <c r="A98" s="1">
        <v>43871</v>
      </c>
      <c r="B98">
        <v>365</v>
      </c>
      <c r="C98">
        <v>374.79998779296875</v>
      </c>
      <c r="D98">
        <v>362.51998901367188</v>
      </c>
      <c r="E98">
        <v>371.07000732421875</v>
      </c>
      <c r="F98">
        <v>371.07000732421875</v>
      </c>
      <c r="G98">
        <v>5294100</v>
      </c>
      <c r="I98" s="5">
        <f t="shared" si="8"/>
        <v>1.1655825150519099E-2</v>
      </c>
      <c r="K98" s="5">
        <f t="shared" si="9"/>
        <v>96</v>
      </c>
      <c r="L98" s="5">
        <v>-3.1499212643197466E-2</v>
      </c>
    </row>
    <row r="99" spans="1:12" x14ac:dyDescent="0.25">
      <c r="A99" s="1">
        <v>43872</v>
      </c>
      <c r="B99">
        <v>373.75</v>
      </c>
      <c r="C99">
        <v>378.1099853515625</v>
      </c>
      <c r="D99">
        <v>369.72000122070313</v>
      </c>
      <c r="E99">
        <v>373.69000244140625</v>
      </c>
      <c r="F99">
        <v>373.69000244140625</v>
      </c>
      <c r="G99">
        <v>4772900</v>
      </c>
      <c r="I99" s="5">
        <f t="shared" si="8"/>
        <v>7.0358394408043248E-3</v>
      </c>
      <c r="K99" s="5">
        <f t="shared" si="9"/>
        <v>97</v>
      </c>
      <c r="L99" s="5">
        <v>-3.1218875458951623E-2</v>
      </c>
    </row>
    <row r="100" spans="1:12" x14ac:dyDescent="0.25">
      <c r="A100" s="1">
        <v>43873</v>
      </c>
      <c r="B100">
        <v>377.17999267578125</v>
      </c>
      <c r="C100">
        <v>380.6199951171875</v>
      </c>
      <c r="D100">
        <v>375.8800048828125</v>
      </c>
      <c r="E100">
        <v>380.010009765625</v>
      </c>
      <c r="F100">
        <v>380.010009765625</v>
      </c>
      <c r="G100">
        <v>4624800</v>
      </c>
      <c r="I100" s="5">
        <f t="shared" si="8"/>
        <v>1.6771010628049848E-2</v>
      </c>
      <c r="K100" s="5">
        <f t="shared" si="9"/>
        <v>98</v>
      </c>
      <c r="L100" s="5">
        <v>-3.0952618739800909E-2</v>
      </c>
    </row>
    <row r="101" spans="1:12" x14ac:dyDescent="0.25">
      <c r="A101" s="1">
        <v>43874</v>
      </c>
      <c r="B101">
        <v>376.95999145507813</v>
      </c>
      <c r="C101">
        <v>385.3699951171875</v>
      </c>
      <c r="D101">
        <v>376.510009765625</v>
      </c>
      <c r="E101">
        <v>381.39999389648438</v>
      </c>
      <c r="F101">
        <v>381.39999389648438</v>
      </c>
      <c r="G101">
        <v>4485400</v>
      </c>
      <c r="I101" s="5">
        <f t="shared" si="8"/>
        <v>3.6510833014060441E-3</v>
      </c>
      <c r="K101" s="5">
        <f t="shared" si="9"/>
        <v>99</v>
      </c>
      <c r="L101" s="5">
        <v>-3.088488437707803E-2</v>
      </c>
    </row>
    <row r="102" spans="1:12" x14ac:dyDescent="0.25">
      <c r="A102" s="1">
        <v>43875</v>
      </c>
      <c r="B102">
        <v>381.47000122070313</v>
      </c>
      <c r="C102">
        <v>385.14999389648438</v>
      </c>
      <c r="D102">
        <v>379.42999267578125</v>
      </c>
      <c r="E102">
        <v>380.39999389648438</v>
      </c>
      <c r="F102">
        <v>380.39999389648438</v>
      </c>
      <c r="G102">
        <v>3736300</v>
      </c>
      <c r="I102" s="5">
        <f t="shared" si="8"/>
        <v>-2.6253625371521253E-3</v>
      </c>
      <c r="K102" s="5">
        <f t="shared" si="9"/>
        <v>100</v>
      </c>
      <c r="L102" s="5">
        <v>-3.0521995769559277E-2</v>
      </c>
    </row>
    <row r="103" spans="1:12" x14ac:dyDescent="0.25">
      <c r="A103" s="1">
        <v>43879</v>
      </c>
      <c r="B103">
        <v>379.29998779296875</v>
      </c>
      <c r="C103">
        <v>389.54000854492188</v>
      </c>
      <c r="D103">
        <v>379.19000244140625</v>
      </c>
      <c r="E103">
        <v>387.77999877929688</v>
      </c>
      <c r="F103">
        <v>387.77999877929688</v>
      </c>
      <c r="G103">
        <v>5173900</v>
      </c>
      <c r="I103" s="5">
        <f t="shared" si="8"/>
        <v>1.9214850728690655E-2</v>
      </c>
      <c r="K103" s="5">
        <f t="shared" si="9"/>
        <v>101</v>
      </c>
      <c r="L103" s="5">
        <v>-3.0425737546979369E-2</v>
      </c>
    </row>
    <row r="104" spans="1:12" x14ac:dyDescent="0.25">
      <c r="A104" s="1">
        <v>43880</v>
      </c>
      <c r="B104">
        <v>388.1199951171875</v>
      </c>
      <c r="C104">
        <v>392.95001220703125</v>
      </c>
      <c r="D104">
        <v>384.89999389648438</v>
      </c>
      <c r="E104">
        <v>386.19000244140625</v>
      </c>
      <c r="F104">
        <v>386.19000244140625</v>
      </c>
      <c r="G104">
        <v>4896400</v>
      </c>
      <c r="I104" s="5">
        <f t="shared" si="8"/>
        <v>-4.1086826935045504E-3</v>
      </c>
      <c r="K104" s="5">
        <f t="shared" si="9"/>
        <v>102</v>
      </c>
      <c r="L104" s="5">
        <v>-3.0372127204380255E-2</v>
      </c>
    </row>
    <row r="105" spans="1:12" x14ac:dyDescent="0.25">
      <c r="A105" s="1">
        <v>43881</v>
      </c>
      <c r="B105">
        <v>386.55999755859375</v>
      </c>
      <c r="C105">
        <v>389.70001220703125</v>
      </c>
      <c r="D105">
        <v>376.67999267578125</v>
      </c>
      <c r="E105">
        <v>386</v>
      </c>
      <c r="F105">
        <v>386</v>
      </c>
      <c r="G105">
        <v>4079400</v>
      </c>
      <c r="I105" s="5">
        <f t="shared" si="8"/>
        <v>-4.9211319659679166E-4</v>
      </c>
      <c r="K105" s="5">
        <f t="shared" si="9"/>
        <v>103</v>
      </c>
      <c r="L105" s="5">
        <v>-3.0347843489803059E-2</v>
      </c>
    </row>
    <row r="106" spans="1:12" x14ac:dyDescent="0.25">
      <c r="A106" s="1">
        <v>43882</v>
      </c>
      <c r="B106">
        <v>385.32998657226563</v>
      </c>
      <c r="C106">
        <v>387.32000732421875</v>
      </c>
      <c r="D106">
        <v>377.89999389648438</v>
      </c>
      <c r="E106">
        <v>380.07000732421875</v>
      </c>
      <c r="F106">
        <v>380.07000732421875</v>
      </c>
      <c r="G106">
        <v>3930100</v>
      </c>
      <c r="I106" s="5">
        <f t="shared" si="8"/>
        <v>-1.5481903912049406E-2</v>
      </c>
      <c r="K106" s="5">
        <f t="shared" si="9"/>
        <v>104</v>
      </c>
      <c r="L106" s="5">
        <v>-3.0244593640129876E-2</v>
      </c>
    </row>
    <row r="107" spans="1:12" x14ac:dyDescent="0.25">
      <c r="A107" s="1">
        <v>43885</v>
      </c>
      <c r="B107">
        <v>364.760009765625</v>
      </c>
      <c r="C107">
        <v>372.82000732421875</v>
      </c>
      <c r="D107">
        <v>361</v>
      </c>
      <c r="E107">
        <v>368.70001220703125</v>
      </c>
      <c r="F107">
        <v>368.70001220703125</v>
      </c>
      <c r="G107">
        <v>6936400</v>
      </c>
      <c r="I107" s="5">
        <f t="shared" si="8"/>
        <v>-3.0372127204380255E-2</v>
      </c>
      <c r="K107" s="5">
        <f t="shared" si="9"/>
        <v>105</v>
      </c>
      <c r="L107" s="5">
        <v>-3.0081107347993446E-2</v>
      </c>
    </row>
    <row r="108" spans="1:12" x14ac:dyDescent="0.25">
      <c r="A108" s="1">
        <v>43886</v>
      </c>
      <c r="B108">
        <v>372</v>
      </c>
      <c r="C108">
        <v>375.64999389648438</v>
      </c>
      <c r="D108">
        <v>357.72000122070313</v>
      </c>
      <c r="E108">
        <v>360.08999633789063</v>
      </c>
      <c r="F108">
        <v>360.08999633789063</v>
      </c>
      <c r="G108">
        <v>6481200</v>
      </c>
      <c r="I108" s="5">
        <f t="shared" si="8"/>
        <v>-2.3629348313021672E-2</v>
      </c>
      <c r="K108" s="5">
        <f t="shared" si="9"/>
        <v>106</v>
      </c>
      <c r="L108" s="5">
        <v>-2.9540676437075263E-2</v>
      </c>
    </row>
    <row r="109" spans="1:12" x14ac:dyDescent="0.25">
      <c r="A109" s="1">
        <v>43887</v>
      </c>
      <c r="B109">
        <v>366.30999755859375</v>
      </c>
      <c r="C109">
        <v>382</v>
      </c>
      <c r="D109">
        <v>365</v>
      </c>
      <c r="E109">
        <v>379.239990234375</v>
      </c>
      <c r="F109">
        <v>379.239990234375</v>
      </c>
      <c r="G109">
        <v>8934100</v>
      </c>
      <c r="I109" s="5">
        <f t="shared" si="8"/>
        <v>5.1815234263864411E-2</v>
      </c>
      <c r="K109" s="5">
        <f t="shared" si="9"/>
        <v>107</v>
      </c>
      <c r="L109" s="5">
        <v>-2.9419619811957745E-2</v>
      </c>
    </row>
    <row r="110" spans="1:12" x14ac:dyDescent="0.25">
      <c r="A110" s="1">
        <v>43888</v>
      </c>
      <c r="B110">
        <v>371.45999145507813</v>
      </c>
      <c r="C110">
        <v>391.55999755859375</v>
      </c>
      <c r="D110">
        <v>370.60000610351563</v>
      </c>
      <c r="E110">
        <v>371.70999145507813</v>
      </c>
      <c r="F110">
        <v>371.70999145507813</v>
      </c>
      <c r="G110">
        <v>10967700</v>
      </c>
      <c r="I110" s="5">
        <f t="shared" si="8"/>
        <v>-2.0055266929335132E-2</v>
      </c>
      <c r="K110" s="5">
        <f t="shared" si="9"/>
        <v>108</v>
      </c>
      <c r="L110" s="5">
        <v>-2.9323395579271615E-2</v>
      </c>
    </row>
    <row r="111" spans="1:12" x14ac:dyDescent="0.25">
      <c r="A111" s="1">
        <v>43889</v>
      </c>
      <c r="B111">
        <v>364.20999145507813</v>
      </c>
      <c r="C111">
        <v>376.76998901367188</v>
      </c>
      <c r="D111">
        <v>356.79998779296875</v>
      </c>
      <c r="E111">
        <v>369.02999877929688</v>
      </c>
      <c r="F111">
        <v>369.02999877929688</v>
      </c>
      <c r="G111">
        <v>11168600</v>
      </c>
      <c r="I111" s="5">
        <f t="shared" si="8"/>
        <v>-7.2360191289750049E-3</v>
      </c>
      <c r="K111" s="5">
        <f t="shared" si="9"/>
        <v>109</v>
      </c>
      <c r="L111" s="5">
        <v>-2.9299518263609776E-2</v>
      </c>
    </row>
    <row r="112" spans="1:12" x14ac:dyDescent="0.25">
      <c r="A112" s="1">
        <v>43892</v>
      </c>
      <c r="B112">
        <v>373.1099853515625</v>
      </c>
      <c r="C112">
        <v>381.3599853515625</v>
      </c>
      <c r="D112">
        <v>364.5</v>
      </c>
      <c r="E112">
        <v>381.04998779296875</v>
      </c>
      <c r="F112">
        <v>381.04998779296875</v>
      </c>
      <c r="G112">
        <v>6997900</v>
      </c>
      <c r="I112" s="5">
        <f t="shared" si="8"/>
        <v>3.2052629835944306E-2</v>
      </c>
      <c r="K112" s="5">
        <f t="shared" si="9"/>
        <v>110</v>
      </c>
      <c r="L112" s="5">
        <v>-2.9107120232566168E-2</v>
      </c>
    </row>
    <row r="113" spans="1:12" x14ac:dyDescent="0.25">
      <c r="A113" s="1">
        <v>43893</v>
      </c>
      <c r="B113">
        <v>381.02999877929688</v>
      </c>
      <c r="C113">
        <v>393.51998901367188</v>
      </c>
      <c r="D113">
        <v>367.39999389648438</v>
      </c>
      <c r="E113">
        <v>368.76998901367188</v>
      </c>
      <c r="F113">
        <v>368.76998901367188</v>
      </c>
      <c r="G113">
        <v>8364600</v>
      </c>
      <c r="I113" s="5">
        <f t="shared" si="8"/>
        <v>-3.2757454397318093E-2</v>
      </c>
      <c r="K113" s="5">
        <f t="shared" si="9"/>
        <v>111</v>
      </c>
      <c r="L113" s="5">
        <v>-2.9081305568116327E-2</v>
      </c>
    </row>
    <row r="114" spans="1:12" x14ac:dyDescent="0.25">
      <c r="A114" s="1">
        <v>43894</v>
      </c>
      <c r="B114">
        <v>377.76998901367188</v>
      </c>
      <c r="C114">
        <v>384.010009765625</v>
      </c>
      <c r="D114">
        <v>370.510009765625</v>
      </c>
      <c r="E114">
        <v>383.79000854492188</v>
      </c>
      <c r="F114">
        <v>383.79000854492188</v>
      </c>
      <c r="G114">
        <v>5487300</v>
      </c>
      <c r="I114" s="5">
        <f t="shared" si="8"/>
        <v>3.9922436582069794E-2</v>
      </c>
      <c r="K114" s="5">
        <f t="shared" si="9"/>
        <v>112</v>
      </c>
      <c r="L114" s="5">
        <v>-2.9022728391476474E-2</v>
      </c>
    </row>
    <row r="115" spans="1:12" x14ac:dyDescent="0.25">
      <c r="A115" s="1">
        <v>43895</v>
      </c>
      <c r="B115">
        <v>381</v>
      </c>
      <c r="C115">
        <v>391.39999389648438</v>
      </c>
      <c r="D115">
        <v>368.6400146484375</v>
      </c>
      <c r="E115">
        <v>372.77999877929688</v>
      </c>
      <c r="F115">
        <v>372.77999877929688</v>
      </c>
      <c r="G115">
        <v>8747000</v>
      </c>
      <c r="I115" s="5">
        <f t="shared" si="8"/>
        <v>-2.9107120232566168E-2</v>
      </c>
      <c r="K115" s="5">
        <f t="shared" si="9"/>
        <v>113</v>
      </c>
      <c r="L115" s="5">
        <v>-2.8916907307312154E-2</v>
      </c>
    </row>
    <row r="116" spans="1:12" x14ac:dyDescent="0.25">
      <c r="A116" s="1">
        <v>43896</v>
      </c>
      <c r="B116">
        <v>367.70001220703125</v>
      </c>
      <c r="C116">
        <v>371.30999755859375</v>
      </c>
      <c r="D116">
        <v>356.85000610351563</v>
      </c>
      <c r="E116">
        <v>368.97000122070313</v>
      </c>
      <c r="F116">
        <v>368.97000122070313</v>
      </c>
      <c r="G116">
        <v>8147200</v>
      </c>
      <c r="I116" s="5">
        <f t="shared" si="8"/>
        <v>-1.0273086798227162E-2</v>
      </c>
      <c r="K116" s="5">
        <f t="shared" si="9"/>
        <v>114</v>
      </c>
      <c r="L116" s="5">
        <v>-2.8798368237123763E-2</v>
      </c>
    </row>
    <row r="117" spans="1:12" x14ac:dyDescent="0.25">
      <c r="A117" s="1">
        <v>43899</v>
      </c>
      <c r="B117">
        <v>343.8599853515625</v>
      </c>
      <c r="C117">
        <v>357.47000122070313</v>
      </c>
      <c r="D117">
        <v>341.72000122070313</v>
      </c>
      <c r="E117">
        <v>346.489990234375</v>
      </c>
      <c r="F117">
        <v>346.489990234375</v>
      </c>
      <c r="G117">
        <v>7405500</v>
      </c>
      <c r="I117" s="5">
        <f t="shared" si="8"/>
        <v>-6.2861413230632865E-2</v>
      </c>
      <c r="K117" s="5">
        <f t="shared" si="9"/>
        <v>115</v>
      </c>
      <c r="L117" s="5">
        <v>-2.873358977211583E-2</v>
      </c>
    </row>
    <row r="118" spans="1:12" x14ac:dyDescent="0.25">
      <c r="A118" s="1">
        <v>43900</v>
      </c>
      <c r="B118">
        <v>356.42999267578125</v>
      </c>
      <c r="C118">
        <v>364.54000854492188</v>
      </c>
      <c r="D118">
        <v>347.85000610351563</v>
      </c>
      <c r="E118">
        <v>364.1300048828125</v>
      </c>
      <c r="F118">
        <v>364.1300048828125</v>
      </c>
      <c r="G118">
        <v>7604400</v>
      </c>
      <c r="I118" s="5">
        <f t="shared" si="8"/>
        <v>4.9657030142881226E-2</v>
      </c>
      <c r="K118" s="5">
        <f t="shared" si="9"/>
        <v>116</v>
      </c>
      <c r="L118" s="5">
        <v>-2.8637416334188974E-2</v>
      </c>
    </row>
    <row r="119" spans="1:12" x14ac:dyDescent="0.25">
      <c r="A119" s="1">
        <v>43901</v>
      </c>
      <c r="B119">
        <v>358.92001342773438</v>
      </c>
      <c r="C119">
        <v>362.98001098632813</v>
      </c>
      <c r="D119">
        <v>344.79000854492188</v>
      </c>
      <c r="E119">
        <v>349.92001342773438</v>
      </c>
      <c r="F119">
        <v>349.92001342773438</v>
      </c>
      <c r="G119">
        <v>6036000</v>
      </c>
      <c r="I119" s="5">
        <f t="shared" si="8"/>
        <v>-3.9806364840901297E-2</v>
      </c>
      <c r="K119" s="5">
        <f t="shared" si="9"/>
        <v>117</v>
      </c>
      <c r="L119" s="5">
        <v>-2.8592967331870802E-2</v>
      </c>
    </row>
    <row r="120" spans="1:12" x14ac:dyDescent="0.25">
      <c r="A120" s="1">
        <v>43902</v>
      </c>
      <c r="B120">
        <v>326.5</v>
      </c>
      <c r="C120">
        <v>335.72000122070313</v>
      </c>
      <c r="D120">
        <v>307.32000732421875</v>
      </c>
      <c r="E120">
        <v>315.25</v>
      </c>
      <c r="F120">
        <v>315.25</v>
      </c>
      <c r="G120">
        <v>12071600</v>
      </c>
      <c r="I120" s="5">
        <f t="shared" si="8"/>
        <v>-0.10433862045715457</v>
      </c>
      <c r="K120" s="5">
        <f t="shared" si="9"/>
        <v>118</v>
      </c>
      <c r="L120" s="5">
        <v>-2.8544454172589755E-2</v>
      </c>
    </row>
    <row r="121" spans="1:12" x14ac:dyDescent="0.25">
      <c r="A121" s="1">
        <v>43903</v>
      </c>
      <c r="B121">
        <v>330.510009765625</v>
      </c>
      <c r="C121">
        <v>336.42001342773438</v>
      </c>
      <c r="D121">
        <v>307.3900146484375</v>
      </c>
      <c r="E121">
        <v>336.29998779296875</v>
      </c>
      <c r="F121">
        <v>336.29998779296875</v>
      </c>
      <c r="G121">
        <v>9458200</v>
      </c>
      <c r="I121" s="5">
        <f t="shared" si="8"/>
        <v>6.4637607603153041E-2</v>
      </c>
      <c r="K121" s="5">
        <f t="shared" si="9"/>
        <v>119</v>
      </c>
      <c r="L121" s="5">
        <v>-2.7737757069916168E-2</v>
      </c>
    </row>
    <row r="122" spans="1:12" x14ac:dyDescent="0.25">
      <c r="A122" s="1">
        <v>43906</v>
      </c>
      <c r="B122">
        <v>306.6300048828125</v>
      </c>
      <c r="C122">
        <v>334.35000610351563</v>
      </c>
      <c r="D122">
        <v>294.75</v>
      </c>
      <c r="E122">
        <v>298.83999633789063</v>
      </c>
      <c r="F122">
        <v>298.83999633789063</v>
      </c>
      <c r="G122">
        <v>10559900</v>
      </c>
      <c r="I122" s="5">
        <f t="shared" si="8"/>
        <v>-0.11809528159499666</v>
      </c>
      <c r="K122" s="5">
        <f t="shared" si="9"/>
        <v>120</v>
      </c>
      <c r="L122" s="5">
        <v>-2.7570614928065156E-2</v>
      </c>
    </row>
    <row r="123" spans="1:12" x14ac:dyDescent="0.25">
      <c r="A123" s="1">
        <v>43907</v>
      </c>
      <c r="B123">
        <v>306.19000244140625</v>
      </c>
      <c r="C123">
        <v>322.89999389648438</v>
      </c>
      <c r="D123">
        <v>290.25</v>
      </c>
      <c r="E123">
        <v>319.75</v>
      </c>
      <c r="F123">
        <v>319.75</v>
      </c>
      <c r="G123">
        <v>10013900</v>
      </c>
      <c r="I123" s="5">
        <f t="shared" si="8"/>
        <v>6.763113960576661E-2</v>
      </c>
      <c r="K123" s="5">
        <f t="shared" si="9"/>
        <v>121</v>
      </c>
      <c r="L123" s="5">
        <v>-2.7219608703670274E-2</v>
      </c>
    </row>
    <row r="124" spans="1:12" x14ac:dyDescent="0.25">
      <c r="A124" s="1">
        <v>43908</v>
      </c>
      <c r="B124">
        <v>302.39999389648438</v>
      </c>
      <c r="C124">
        <v>331.57998657226563</v>
      </c>
      <c r="D124">
        <v>300</v>
      </c>
      <c r="E124">
        <v>315.47000122070313</v>
      </c>
      <c r="F124">
        <v>315.47000122070313</v>
      </c>
      <c r="G124">
        <v>12593600</v>
      </c>
      <c r="I124" s="5">
        <f t="shared" si="8"/>
        <v>-1.3475846292513619E-2</v>
      </c>
      <c r="K124" s="5">
        <f t="shared" si="9"/>
        <v>122</v>
      </c>
      <c r="L124" s="5">
        <v>-2.7156143623487353E-2</v>
      </c>
    </row>
    <row r="125" spans="1:12" x14ac:dyDescent="0.25">
      <c r="A125" s="1">
        <v>43909</v>
      </c>
      <c r="B125">
        <v>324.32998657226563</v>
      </c>
      <c r="C125">
        <v>348.510009765625</v>
      </c>
      <c r="D125">
        <v>316.82000732421875</v>
      </c>
      <c r="E125">
        <v>332.02999877929688</v>
      </c>
      <c r="F125">
        <v>332.02999877929688</v>
      </c>
      <c r="G125">
        <v>10616000</v>
      </c>
      <c r="I125" s="5">
        <f t="shared" si="8"/>
        <v>5.1161728436999204E-2</v>
      </c>
      <c r="K125" s="5">
        <f t="shared" si="9"/>
        <v>123</v>
      </c>
      <c r="L125" s="5">
        <v>-2.7049719984457998E-2</v>
      </c>
    </row>
    <row r="126" spans="1:12" x14ac:dyDescent="0.25">
      <c r="A126" s="1">
        <v>43910</v>
      </c>
      <c r="B126">
        <v>342.30999755859375</v>
      </c>
      <c r="C126">
        <v>350.489990234375</v>
      </c>
      <c r="D126">
        <v>332</v>
      </c>
      <c r="E126">
        <v>332.82998657226563</v>
      </c>
      <c r="F126">
        <v>332.82998657226563</v>
      </c>
      <c r="G126">
        <v>10853800</v>
      </c>
      <c r="I126" s="5">
        <f t="shared" si="8"/>
        <v>2.406486167514558E-3</v>
      </c>
      <c r="K126" s="5">
        <f t="shared" si="9"/>
        <v>124</v>
      </c>
      <c r="L126" s="5">
        <v>-2.6897300316670439E-2</v>
      </c>
    </row>
    <row r="127" spans="1:12" x14ac:dyDescent="0.25">
      <c r="A127" s="1">
        <v>43913</v>
      </c>
      <c r="B127">
        <v>347.8900146484375</v>
      </c>
      <c r="C127">
        <v>366.1099853515625</v>
      </c>
      <c r="D127">
        <v>340.8800048828125</v>
      </c>
      <c r="E127">
        <v>360.26998901367188</v>
      </c>
      <c r="F127">
        <v>360.26998901367188</v>
      </c>
      <c r="G127">
        <v>13449400</v>
      </c>
      <c r="I127" s="5">
        <f t="shared" si="8"/>
        <v>7.9221911075041965E-2</v>
      </c>
      <c r="K127" s="5">
        <f t="shared" si="9"/>
        <v>125</v>
      </c>
      <c r="L127" s="5">
        <v>-2.6770355479610253E-2</v>
      </c>
    </row>
    <row r="128" spans="1:12" x14ac:dyDescent="0.25">
      <c r="A128" s="1">
        <v>43914</v>
      </c>
      <c r="B128">
        <v>369.989990234375</v>
      </c>
      <c r="C128">
        <v>372.92999267578125</v>
      </c>
      <c r="D128">
        <v>353.02999877929688</v>
      </c>
      <c r="E128">
        <v>357.32000732421875</v>
      </c>
      <c r="F128">
        <v>357.32000732421875</v>
      </c>
      <c r="G128">
        <v>11638700</v>
      </c>
      <c r="I128" s="5">
        <f t="shared" si="8"/>
        <v>-8.2219605147102991E-3</v>
      </c>
      <c r="K128" s="5">
        <f t="shared" si="9"/>
        <v>126</v>
      </c>
      <c r="L128" s="5">
        <v>-2.6638204360714169E-2</v>
      </c>
    </row>
    <row r="129" spans="1:12" x14ac:dyDescent="0.25">
      <c r="A129" s="1">
        <v>43915</v>
      </c>
      <c r="B129">
        <v>361.01998901367188</v>
      </c>
      <c r="C129">
        <v>362</v>
      </c>
      <c r="D129">
        <v>339.17001342773438</v>
      </c>
      <c r="E129">
        <v>342.3900146484375</v>
      </c>
      <c r="F129">
        <v>342.3900146484375</v>
      </c>
      <c r="G129">
        <v>8767200</v>
      </c>
      <c r="I129" s="5">
        <f t="shared" si="8"/>
        <v>-4.2681278314765266E-2</v>
      </c>
      <c r="K129" s="5">
        <f t="shared" si="9"/>
        <v>127</v>
      </c>
      <c r="L129" s="5">
        <v>-2.6558866453766119E-2</v>
      </c>
    </row>
    <row r="130" spans="1:12" x14ac:dyDescent="0.25">
      <c r="A130" s="1">
        <v>43916</v>
      </c>
      <c r="B130">
        <v>344</v>
      </c>
      <c r="C130">
        <v>363.83999633789063</v>
      </c>
      <c r="D130">
        <v>341.73001098632813</v>
      </c>
      <c r="E130">
        <v>362.989990234375</v>
      </c>
      <c r="F130">
        <v>362.989990234375</v>
      </c>
      <c r="G130">
        <v>7229600</v>
      </c>
      <c r="I130" s="5">
        <f t="shared" si="8"/>
        <v>5.8424777756217287E-2</v>
      </c>
      <c r="K130" s="5">
        <f t="shared" si="9"/>
        <v>128</v>
      </c>
      <c r="L130" s="5">
        <v>-2.6457905660305214E-2</v>
      </c>
    </row>
    <row r="131" spans="1:12" x14ac:dyDescent="0.25">
      <c r="A131" s="1">
        <v>43917</v>
      </c>
      <c r="B131">
        <v>359.08999633789063</v>
      </c>
      <c r="C131">
        <v>368.55999755859375</v>
      </c>
      <c r="D131">
        <v>353</v>
      </c>
      <c r="E131">
        <v>357.1199951171875</v>
      </c>
      <c r="F131">
        <v>357.1199951171875</v>
      </c>
      <c r="G131">
        <v>7948800</v>
      </c>
      <c r="I131" s="5">
        <f t="shared" si="8"/>
        <v>-1.6303412692594561E-2</v>
      </c>
      <c r="K131" s="5">
        <f t="shared" si="9"/>
        <v>129</v>
      </c>
      <c r="L131" s="5">
        <v>-2.6382735026901812E-2</v>
      </c>
    </row>
    <row r="132" spans="1:12" x14ac:dyDescent="0.25">
      <c r="A132" s="1">
        <v>43920</v>
      </c>
      <c r="B132">
        <v>363</v>
      </c>
      <c r="C132">
        <v>377.79998779296875</v>
      </c>
      <c r="D132">
        <v>361.17001342773438</v>
      </c>
      <c r="E132">
        <v>370.95999145507813</v>
      </c>
      <c r="F132">
        <v>370.95999145507813</v>
      </c>
      <c r="G132">
        <v>8622000</v>
      </c>
      <c r="I132" s="5">
        <f t="shared" ref="I132:I195" si="10">LN(F132/F131)</f>
        <v>3.8022370968445844E-2</v>
      </c>
      <c r="K132" s="5">
        <f t="shared" ref="K132:K195" si="11">_xlfn.RANK.AVG(L132,_xlfn.ANCHORARRAY($L$3),1)</f>
        <v>130</v>
      </c>
      <c r="L132" s="5">
        <v>-2.6374847614010807E-2</v>
      </c>
    </row>
    <row r="133" spans="1:12" x14ac:dyDescent="0.25">
      <c r="A133" s="1">
        <v>43921</v>
      </c>
      <c r="B133">
        <v>367.92999267578125</v>
      </c>
      <c r="C133">
        <v>383.010009765625</v>
      </c>
      <c r="D133">
        <v>366.44000244140625</v>
      </c>
      <c r="E133">
        <v>375.5</v>
      </c>
      <c r="F133">
        <v>375.5</v>
      </c>
      <c r="G133">
        <v>9366500</v>
      </c>
      <c r="I133" s="5">
        <f t="shared" si="10"/>
        <v>1.2164254155602176E-2</v>
      </c>
      <c r="K133" s="5">
        <f t="shared" si="11"/>
        <v>131</v>
      </c>
      <c r="L133" s="5">
        <v>-2.5988480916300814E-2</v>
      </c>
    </row>
    <row r="134" spans="1:12" x14ac:dyDescent="0.25">
      <c r="A134" s="1">
        <v>43922</v>
      </c>
      <c r="B134">
        <v>376.04998779296875</v>
      </c>
      <c r="C134">
        <v>380.23001098632813</v>
      </c>
      <c r="D134">
        <v>361.01998901367188</v>
      </c>
      <c r="E134">
        <v>364.07998657226563</v>
      </c>
      <c r="F134">
        <v>364.07998657226563</v>
      </c>
      <c r="G134">
        <v>6672500</v>
      </c>
      <c r="I134" s="5">
        <f t="shared" si="10"/>
        <v>-3.088488437707803E-2</v>
      </c>
      <c r="K134" s="5">
        <f t="shared" si="11"/>
        <v>132</v>
      </c>
      <c r="L134" s="5">
        <v>-2.5840910321865959E-2</v>
      </c>
    </row>
    <row r="135" spans="1:12" x14ac:dyDescent="0.25">
      <c r="A135" s="1">
        <v>43923</v>
      </c>
      <c r="B135">
        <v>364.07998657226563</v>
      </c>
      <c r="C135">
        <v>370.989990234375</v>
      </c>
      <c r="D135">
        <v>360.05999755859375</v>
      </c>
      <c r="E135">
        <v>370.07998657226563</v>
      </c>
      <c r="F135">
        <v>370.07998657226563</v>
      </c>
      <c r="G135">
        <v>4592500</v>
      </c>
      <c r="I135" s="5">
        <f t="shared" si="10"/>
        <v>1.6345575372688086E-2</v>
      </c>
      <c r="K135" s="5">
        <f t="shared" si="11"/>
        <v>133</v>
      </c>
      <c r="L135" s="5">
        <v>-2.5750621521522816E-2</v>
      </c>
    </row>
    <row r="136" spans="1:12" x14ac:dyDescent="0.25">
      <c r="A136" s="1">
        <v>43924</v>
      </c>
      <c r="B136">
        <v>367.47000122070313</v>
      </c>
      <c r="C136">
        <v>370.89999389648438</v>
      </c>
      <c r="D136">
        <v>357.510009765625</v>
      </c>
      <c r="E136">
        <v>361.760009765625</v>
      </c>
      <c r="F136">
        <v>361.760009765625</v>
      </c>
      <c r="G136">
        <v>4860800</v>
      </c>
      <c r="I136" s="5">
        <f t="shared" si="10"/>
        <v>-2.2738126675378362E-2</v>
      </c>
      <c r="K136" s="5">
        <f t="shared" si="11"/>
        <v>134</v>
      </c>
      <c r="L136" s="5">
        <v>-2.5625709122888293E-2</v>
      </c>
    </row>
    <row r="137" spans="1:12" x14ac:dyDescent="0.25">
      <c r="A137" s="1">
        <v>43927</v>
      </c>
      <c r="B137">
        <v>365.22000122070313</v>
      </c>
      <c r="C137">
        <v>380.29000854492188</v>
      </c>
      <c r="D137">
        <v>361.70999145507813</v>
      </c>
      <c r="E137">
        <v>379.95999145507813</v>
      </c>
      <c r="F137">
        <v>379.95999145507813</v>
      </c>
      <c r="G137">
        <v>8183900</v>
      </c>
      <c r="I137" s="5">
        <f t="shared" si="10"/>
        <v>4.908492600855658E-2</v>
      </c>
      <c r="K137" s="5">
        <f t="shared" si="11"/>
        <v>135</v>
      </c>
      <c r="L137" s="5">
        <v>-2.5497718084834264E-2</v>
      </c>
    </row>
    <row r="138" spans="1:12" x14ac:dyDescent="0.25">
      <c r="A138" s="1">
        <v>43928</v>
      </c>
      <c r="B138">
        <v>380</v>
      </c>
      <c r="C138">
        <v>381.32998657226563</v>
      </c>
      <c r="D138">
        <v>369.33999633789063</v>
      </c>
      <c r="E138">
        <v>372.27999877929688</v>
      </c>
      <c r="F138">
        <v>372.27999877929688</v>
      </c>
      <c r="G138">
        <v>7046400</v>
      </c>
      <c r="I138" s="5">
        <f t="shared" si="10"/>
        <v>-2.0419705494459945E-2</v>
      </c>
      <c r="K138" s="5">
        <f t="shared" si="11"/>
        <v>136</v>
      </c>
      <c r="L138" s="5">
        <v>-2.5393788790304038E-2</v>
      </c>
    </row>
    <row r="139" spans="1:12" x14ac:dyDescent="0.25">
      <c r="A139" s="1">
        <v>43929</v>
      </c>
      <c r="B139">
        <v>374.010009765625</v>
      </c>
      <c r="C139">
        <v>378.3900146484375</v>
      </c>
      <c r="D139">
        <v>368.30999755859375</v>
      </c>
      <c r="E139">
        <v>371.1199951171875</v>
      </c>
      <c r="F139">
        <v>371.1199951171875</v>
      </c>
      <c r="G139">
        <v>6908900</v>
      </c>
      <c r="I139" s="5">
        <f t="shared" si="10"/>
        <v>-3.1208087519936402E-3</v>
      </c>
      <c r="K139" s="5">
        <f t="shared" si="11"/>
        <v>137</v>
      </c>
      <c r="L139" s="5">
        <v>-2.5306334591894217E-2</v>
      </c>
    </row>
    <row r="140" spans="1:12" x14ac:dyDescent="0.25">
      <c r="A140" s="1">
        <v>43930</v>
      </c>
      <c r="B140">
        <v>371.05999755859375</v>
      </c>
      <c r="C140">
        <v>372.10000610351563</v>
      </c>
      <c r="D140">
        <v>363.02999877929688</v>
      </c>
      <c r="E140">
        <v>370.72000122070313</v>
      </c>
      <c r="F140">
        <v>370.72000122070313</v>
      </c>
      <c r="G140">
        <v>7711300</v>
      </c>
      <c r="I140" s="5">
        <f t="shared" si="10"/>
        <v>-1.0783833096680248E-3</v>
      </c>
      <c r="K140" s="5">
        <f t="shared" si="11"/>
        <v>138</v>
      </c>
      <c r="L140" s="5">
        <v>-2.5304927002364492E-2</v>
      </c>
    </row>
    <row r="141" spans="1:12" x14ac:dyDescent="0.25">
      <c r="A141" s="1">
        <v>43934</v>
      </c>
      <c r="B141">
        <v>371.30999755859375</v>
      </c>
      <c r="C141">
        <v>400.510009765625</v>
      </c>
      <c r="D141">
        <v>367.70001220703125</v>
      </c>
      <c r="E141">
        <v>396.72000122070313</v>
      </c>
      <c r="F141">
        <v>396.72000122070313</v>
      </c>
      <c r="G141">
        <v>11692900</v>
      </c>
      <c r="I141" s="5">
        <f t="shared" si="10"/>
        <v>6.7783681281011476E-2</v>
      </c>
      <c r="K141" s="5">
        <f t="shared" si="11"/>
        <v>139</v>
      </c>
      <c r="L141" s="5">
        <v>-2.5283515972345096E-2</v>
      </c>
    </row>
    <row r="142" spans="1:12" x14ac:dyDescent="0.25">
      <c r="A142" s="1">
        <v>43935</v>
      </c>
      <c r="B142">
        <v>397.5</v>
      </c>
      <c r="C142">
        <v>417.82000732421875</v>
      </c>
      <c r="D142">
        <v>394.85000610351563</v>
      </c>
      <c r="E142">
        <v>413.54998779296875</v>
      </c>
      <c r="F142">
        <v>413.54998779296875</v>
      </c>
      <c r="G142">
        <v>11581000</v>
      </c>
      <c r="I142" s="5">
        <f t="shared" si="10"/>
        <v>4.1547651362380332E-2</v>
      </c>
      <c r="K142" s="5">
        <f t="shared" si="11"/>
        <v>140</v>
      </c>
      <c r="L142" s="5">
        <v>-2.5238548183657165E-2</v>
      </c>
    </row>
    <row r="143" spans="1:12" x14ac:dyDescent="0.25">
      <c r="A143" s="1">
        <v>43936</v>
      </c>
      <c r="B143">
        <v>413</v>
      </c>
      <c r="C143">
        <v>434.98001098632813</v>
      </c>
      <c r="D143">
        <v>412.25</v>
      </c>
      <c r="E143">
        <v>426.75</v>
      </c>
      <c r="F143">
        <v>426.75</v>
      </c>
      <c r="G143">
        <v>13561200</v>
      </c>
      <c r="I143" s="5">
        <f t="shared" si="10"/>
        <v>3.1419965054302092E-2</v>
      </c>
      <c r="K143" s="5">
        <f t="shared" si="11"/>
        <v>141</v>
      </c>
      <c r="L143" s="5">
        <v>-2.5070955976308085E-2</v>
      </c>
    </row>
    <row r="144" spans="1:12" x14ac:dyDescent="0.25">
      <c r="A144" s="1">
        <v>43937</v>
      </c>
      <c r="B144">
        <v>437</v>
      </c>
      <c r="C144">
        <v>449.51998901367188</v>
      </c>
      <c r="D144">
        <v>431.6099853515625</v>
      </c>
      <c r="E144">
        <v>439.17001342773438</v>
      </c>
      <c r="F144">
        <v>439.17001342773438</v>
      </c>
      <c r="G144">
        <v>16128700</v>
      </c>
      <c r="I144" s="5">
        <f t="shared" si="10"/>
        <v>2.8688250752133833E-2</v>
      </c>
      <c r="K144" s="5">
        <f t="shared" si="11"/>
        <v>142</v>
      </c>
      <c r="L144" s="5">
        <v>-2.5032983157944673E-2</v>
      </c>
    </row>
    <row r="145" spans="1:12" x14ac:dyDescent="0.25">
      <c r="A145" s="1">
        <v>43938</v>
      </c>
      <c r="B145">
        <v>431</v>
      </c>
      <c r="C145">
        <v>432</v>
      </c>
      <c r="D145">
        <v>414.70001220703125</v>
      </c>
      <c r="E145">
        <v>422.95999145507813</v>
      </c>
      <c r="F145">
        <v>422.95999145507813</v>
      </c>
      <c r="G145">
        <v>12616300</v>
      </c>
      <c r="I145" s="5">
        <f t="shared" si="10"/>
        <v>-3.7609020702160573E-2</v>
      </c>
      <c r="K145" s="5">
        <f t="shared" si="11"/>
        <v>143</v>
      </c>
      <c r="L145" s="5">
        <v>-2.4932547104017155E-2</v>
      </c>
    </row>
    <row r="146" spans="1:12" x14ac:dyDescent="0.25">
      <c r="A146" s="1">
        <v>43941</v>
      </c>
      <c r="B146">
        <v>435.17001342773438</v>
      </c>
      <c r="C146">
        <v>444.489990234375</v>
      </c>
      <c r="D146">
        <v>430.55999755859375</v>
      </c>
      <c r="E146">
        <v>437.489990234375</v>
      </c>
      <c r="F146">
        <v>437.489990234375</v>
      </c>
      <c r="G146">
        <v>12655800</v>
      </c>
      <c r="I146" s="5">
        <f t="shared" si="10"/>
        <v>3.3776234347121292E-2</v>
      </c>
      <c r="K146" s="5">
        <f t="shared" si="11"/>
        <v>144</v>
      </c>
      <c r="L146" s="5">
        <v>-2.4898417544918467E-2</v>
      </c>
    </row>
    <row r="147" spans="1:12" x14ac:dyDescent="0.25">
      <c r="A147" s="1">
        <v>43942</v>
      </c>
      <c r="B147">
        <v>444.76998901367188</v>
      </c>
      <c r="C147">
        <v>447</v>
      </c>
      <c r="D147">
        <v>425.60000610351563</v>
      </c>
      <c r="E147">
        <v>433.82998657226563</v>
      </c>
      <c r="F147">
        <v>433.82998657226563</v>
      </c>
      <c r="G147">
        <v>23177600</v>
      </c>
      <c r="I147" s="5">
        <f t="shared" si="10"/>
        <v>-8.4011047284385468E-3</v>
      </c>
      <c r="K147" s="5">
        <f t="shared" si="11"/>
        <v>145</v>
      </c>
      <c r="L147" s="5">
        <v>-2.4895502289186387E-2</v>
      </c>
    </row>
    <row r="148" spans="1:12" x14ac:dyDescent="0.25">
      <c r="A148" s="1">
        <v>43943</v>
      </c>
      <c r="B148">
        <v>429.73001098632813</v>
      </c>
      <c r="C148">
        <v>433</v>
      </c>
      <c r="D148">
        <v>413</v>
      </c>
      <c r="E148">
        <v>421.42001342773438</v>
      </c>
      <c r="F148">
        <v>421.42001342773438</v>
      </c>
      <c r="G148">
        <v>21084800</v>
      </c>
      <c r="I148" s="5">
        <f t="shared" si="10"/>
        <v>-2.9022728391476474E-2</v>
      </c>
      <c r="K148" s="5">
        <f t="shared" si="11"/>
        <v>146</v>
      </c>
      <c r="L148" s="5">
        <v>-2.4807062334467389E-2</v>
      </c>
    </row>
    <row r="149" spans="1:12" x14ac:dyDescent="0.25">
      <c r="A149" s="1">
        <v>43944</v>
      </c>
      <c r="B149">
        <v>419.260009765625</v>
      </c>
      <c r="C149">
        <v>438.41000366210938</v>
      </c>
      <c r="D149">
        <v>419.260009765625</v>
      </c>
      <c r="E149">
        <v>426.70001220703125</v>
      </c>
      <c r="F149">
        <v>426.70001220703125</v>
      </c>
      <c r="G149">
        <v>13952300</v>
      </c>
      <c r="I149" s="5">
        <f t="shared" si="10"/>
        <v>1.245122585021876E-2</v>
      </c>
      <c r="K149" s="5">
        <f t="shared" si="11"/>
        <v>147</v>
      </c>
      <c r="L149" s="5">
        <v>-2.4760167140688877E-2</v>
      </c>
    </row>
    <row r="150" spans="1:12" x14ac:dyDescent="0.25">
      <c r="A150" s="1">
        <v>43945</v>
      </c>
      <c r="B150">
        <v>425</v>
      </c>
      <c r="C150">
        <v>427.17001342773438</v>
      </c>
      <c r="D150">
        <v>415.8800048828125</v>
      </c>
      <c r="E150">
        <v>424.989990234375</v>
      </c>
      <c r="F150">
        <v>424.989990234375</v>
      </c>
      <c r="G150">
        <v>8658900</v>
      </c>
      <c r="I150" s="5">
        <f t="shared" si="10"/>
        <v>-4.0156025445993362E-3</v>
      </c>
      <c r="K150" s="5">
        <f t="shared" si="11"/>
        <v>148</v>
      </c>
      <c r="L150" s="5">
        <v>-2.4709021125825376E-2</v>
      </c>
    </row>
    <row r="151" spans="1:12" x14ac:dyDescent="0.25">
      <c r="A151" s="1">
        <v>43948</v>
      </c>
      <c r="B151">
        <v>425</v>
      </c>
      <c r="C151">
        <v>429</v>
      </c>
      <c r="D151">
        <v>420.83999633789063</v>
      </c>
      <c r="E151">
        <v>421.3800048828125</v>
      </c>
      <c r="F151">
        <v>421.3800048828125</v>
      </c>
      <c r="G151">
        <v>6277500</v>
      </c>
      <c r="I151" s="5">
        <f t="shared" si="10"/>
        <v>-8.5305652706947933E-3</v>
      </c>
      <c r="K151" s="5">
        <f t="shared" si="11"/>
        <v>149</v>
      </c>
      <c r="L151" s="5">
        <v>-2.4669927071729266E-2</v>
      </c>
    </row>
    <row r="152" spans="1:12" x14ac:dyDescent="0.25">
      <c r="A152" s="1">
        <v>43949</v>
      </c>
      <c r="B152">
        <v>419.989990234375</v>
      </c>
      <c r="C152">
        <v>421</v>
      </c>
      <c r="D152">
        <v>402.91000366210938</v>
      </c>
      <c r="E152">
        <v>403.82998657226563</v>
      </c>
      <c r="F152">
        <v>403.82998657226563</v>
      </c>
      <c r="G152">
        <v>10101200</v>
      </c>
      <c r="I152" s="5">
        <f t="shared" si="10"/>
        <v>-4.2541086913501461E-2</v>
      </c>
      <c r="K152" s="5">
        <f t="shared" si="11"/>
        <v>150</v>
      </c>
      <c r="L152" s="5">
        <v>-2.4566998819305724E-2</v>
      </c>
    </row>
    <row r="153" spans="1:12" x14ac:dyDescent="0.25">
      <c r="A153" s="1">
        <v>43950</v>
      </c>
      <c r="B153">
        <v>399.52999877929688</v>
      </c>
      <c r="C153">
        <v>415.8599853515625</v>
      </c>
      <c r="D153">
        <v>393.60000610351563</v>
      </c>
      <c r="E153">
        <v>411.8900146484375</v>
      </c>
      <c r="F153">
        <v>411.8900146484375</v>
      </c>
      <c r="G153">
        <v>9693100</v>
      </c>
      <c r="I153" s="5">
        <f t="shared" si="10"/>
        <v>1.9762394900812795E-2</v>
      </c>
      <c r="K153" s="5">
        <f t="shared" si="11"/>
        <v>151</v>
      </c>
      <c r="L153" s="5">
        <v>-2.4249772008281354E-2</v>
      </c>
    </row>
    <row r="154" spans="1:12" x14ac:dyDescent="0.25">
      <c r="A154" s="1">
        <v>43951</v>
      </c>
      <c r="B154">
        <v>410.30999755859375</v>
      </c>
      <c r="C154">
        <v>424.44000244140625</v>
      </c>
      <c r="D154">
        <v>408</v>
      </c>
      <c r="E154">
        <v>419.85000610351563</v>
      </c>
      <c r="F154">
        <v>419.85000610351563</v>
      </c>
      <c r="G154">
        <v>7954000</v>
      </c>
      <c r="I154" s="5">
        <f t="shared" si="10"/>
        <v>1.9141160192978391E-2</v>
      </c>
      <c r="K154" s="5">
        <f t="shared" si="11"/>
        <v>152</v>
      </c>
      <c r="L154" s="5">
        <v>-2.4087550783997269E-2</v>
      </c>
    </row>
    <row r="155" spans="1:12" x14ac:dyDescent="0.25">
      <c r="A155" s="1">
        <v>43952</v>
      </c>
      <c r="B155">
        <v>415.10000610351563</v>
      </c>
      <c r="C155">
        <v>427.97000122070313</v>
      </c>
      <c r="D155">
        <v>411.73001098632813</v>
      </c>
      <c r="E155">
        <v>415.26998901367188</v>
      </c>
      <c r="F155">
        <v>415.26998901367188</v>
      </c>
      <c r="G155">
        <v>8299900</v>
      </c>
      <c r="I155" s="5">
        <f t="shared" si="10"/>
        <v>-1.0968634532471159E-2</v>
      </c>
      <c r="K155" s="5">
        <f t="shared" si="11"/>
        <v>153</v>
      </c>
      <c r="L155" s="5">
        <v>-2.3902618573719392E-2</v>
      </c>
    </row>
    <row r="156" spans="1:12" x14ac:dyDescent="0.25">
      <c r="A156" s="1">
        <v>43955</v>
      </c>
      <c r="B156">
        <v>417.77999877929688</v>
      </c>
      <c r="C156">
        <v>428.54000854492188</v>
      </c>
      <c r="D156">
        <v>414.8699951171875</v>
      </c>
      <c r="E156">
        <v>428.14999389648438</v>
      </c>
      <c r="F156">
        <v>428.14999389648438</v>
      </c>
      <c r="G156">
        <v>7799100</v>
      </c>
      <c r="I156" s="5">
        <f t="shared" si="10"/>
        <v>3.0544702582173584E-2</v>
      </c>
      <c r="K156" s="5">
        <f t="shared" si="11"/>
        <v>154</v>
      </c>
      <c r="L156" s="5">
        <v>-2.3861924132632127E-2</v>
      </c>
    </row>
    <row r="157" spans="1:12" x14ac:dyDescent="0.25">
      <c r="A157" s="1">
        <v>43956</v>
      </c>
      <c r="B157">
        <v>427.55999755859375</v>
      </c>
      <c r="C157">
        <v>431</v>
      </c>
      <c r="D157">
        <v>421.55999755859375</v>
      </c>
      <c r="E157">
        <v>424.67999267578125</v>
      </c>
      <c r="F157">
        <v>424.67999267578125</v>
      </c>
      <c r="G157">
        <v>6286300</v>
      </c>
      <c r="I157" s="5">
        <f t="shared" si="10"/>
        <v>-8.1376603177158169E-3</v>
      </c>
      <c r="K157" s="5">
        <f t="shared" si="11"/>
        <v>155</v>
      </c>
      <c r="L157" s="5">
        <v>-2.3629348313021672E-2</v>
      </c>
    </row>
    <row r="158" spans="1:12" x14ac:dyDescent="0.25">
      <c r="A158" s="1">
        <v>43957</v>
      </c>
      <c r="B158">
        <v>429.29998779296875</v>
      </c>
      <c r="C158">
        <v>439.76998901367188</v>
      </c>
      <c r="D158">
        <v>426.3900146484375</v>
      </c>
      <c r="E158">
        <v>434.260009765625</v>
      </c>
      <c r="F158">
        <v>434.260009765625</v>
      </c>
      <c r="G158">
        <v>6660700</v>
      </c>
      <c r="I158" s="5">
        <f t="shared" si="10"/>
        <v>2.2307528654662876E-2</v>
      </c>
      <c r="K158" s="5">
        <f t="shared" si="11"/>
        <v>156</v>
      </c>
      <c r="L158" s="5">
        <v>-2.3555520533532721E-2</v>
      </c>
    </row>
    <row r="159" spans="1:12" x14ac:dyDescent="0.25">
      <c r="A159" s="1">
        <v>43958</v>
      </c>
      <c r="B159">
        <v>436.8900146484375</v>
      </c>
      <c r="C159">
        <v>438.8800048828125</v>
      </c>
      <c r="D159">
        <v>430.66000366210938</v>
      </c>
      <c r="E159">
        <v>436.52999877929688</v>
      </c>
      <c r="F159">
        <v>436.52999877929688</v>
      </c>
      <c r="G159">
        <v>5641900</v>
      </c>
      <c r="I159" s="5">
        <f t="shared" si="10"/>
        <v>5.2136430903246883E-3</v>
      </c>
      <c r="K159" s="5">
        <f t="shared" si="11"/>
        <v>157</v>
      </c>
      <c r="L159" s="5">
        <v>-2.3536235147540933E-2</v>
      </c>
    </row>
    <row r="160" spans="1:12" x14ac:dyDescent="0.25">
      <c r="A160" s="1">
        <v>43959</v>
      </c>
      <c r="B160">
        <v>434.1400146484375</v>
      </c>
      <c r="C160">
        <v>442</v>
      </c>
      <c r="D160">
        <v>433.6400146484375</v>
      </c>
      <c r="E160">
        <v>435.54998779296875</v>
      </c>
      <c r="F160">
        <v>435.54998779296875</v>
      </c>
      <c r="G160">
        <v>5049300</v>
      </c>
      <c r="I160" s="5">
        <f t="shared" si="10"/>
        <v>-2.2475264057225919E-3</v>
      </c>
      <c r="K160" s="5">
        <f t="shared" si="11"/>
        <v>158</v>
      </c>
      <c r="L160" s="5">
        <v>-2.3530838661894236E-2</v>
      </c>
    </row>
    <row r="161" spans="1:12" x14ac:dyDescent="0.25">
      <c r="A161" s="1">
        <v>43962</v>
      </c>
      <c r="B161">
        <v>436.32998657226563</v>
      </c>
      <c r="C161">
        <v>444.8900146484375</v>
      </c>
      <c r="D161">
        <v>435.55999755859375</v>
      </c>
      <c r="E161">
        <v>440.51998901367188</v>
      </c>
      <c r="F161">
        <v>440.51998901367188</v>
      </c>
      <c r="G161">
        <v>5486000</v>
      </c>
      <c r="I161" s="5">
        <f t="shared" si="10"/>
        <v>1.1346250119093456E-2</v>
      </c>
      <c r="K161" s="5">
        <f t="shared" si="11"/>
        <v>159</v>
      </c>
      <c r="L161" s="5">
        <v>-2.3377004266647346E-2</v>
      </c>
    </row>
    <row r="162" spans="1:12" x14ac:dyDescent="0.25">
      <c r="A162" s="1">
        <v>43963</v>
      </c>
      <c r="B162">
        <v>442</v>
      </c>
      <c r="C162">
        <v>444.17001342773438</v>
      </c>
      <c r="D162">
        <v>431.3599853515625</v>
      </c>
      <c r="E162">
        <v>431.82000732421875</v>
      </c>
      <c r="F162">
        <v>431.82000732421875</v>
      </c>
      <c r="G162">
        <v>4598200</v>
      </c>
      <c r="I162" s="5">
        <f t="shared" si="10"/>
        <v>-1.9946970648244258E-2</v>
      </c>
      <c r="K162" s="5">
        <f t="shared" si="11"/>
        <v>160</v>
      </c>
      <c r="L162" s="5">
        <v>-2.3289791003049468E-2</v>
      </c>
    </row>
    <row r="163" spans="1:12" x14ac:dyDescent="0.25">
      <c r="A163" s="1">
        <v>43964</v>
      </c>
      <c r="B163">
        <v>435.69000244140625</v>
      </c>
      <c r="C163">
        <v>447</v>
      </c>
      <c r="D163">
        <v>427.26998901367188</v>
      </c>
      <c r="E163">
        <v>438.26998901367188</v>
      </c>
      <c r="F163">
        <v>438.26998901367188</v>
      </c>
      <c r="G163">
        <v>7014600</v>
      </c>
      <c r="I163" s="5">
        <f t="shared" si="10"/>
        <v>1.4826282035998652E-2</v>
      </c>
      <c r="K163" s="5">
        <f t="shared" si="11"/>
        <v>161</v>
      </c>
      <c r="L163" s="5">
        <v>-2.3210975199019959E-2</v>
      </c>
    </row>
    <row r="164" spans="1:12" x14ac:dyDescent="0.25">
      <c r="A164" s="1">
        <v>43965</v>
      </c>
      <c r="B164">
        <v>444.89999389648438</v>
      </c>
      <c r="C164">
        <v>452.3800048828125</v>
      </c>
      <c r="D164">
        <v>432.82000732421875</v>
      </c>
      <c r="E164">
        <v>441.95001220703125</v>
      </c>
      <c r="F164">
        <v>441.95001220703125</v>
      </c>
      <c r="G164">
        <v>9007500</v>
      </c>
      <c r="I164" s="5">
        <f t="shared" si="10"/>
        <v>8.3616473827552492E-3</v>
      </c>
      <c r="K164" s="5">
        <f t="shared" si="11"/>
        <v>162</v>
      </c>
      <c r="L164" s="5">
        <v>-2.3209077504277167E-2</v>
      </c>
    </row>
    <row r="165" spans="1:12" x14ac:dyDescent="0.25">
      <c r="A165" s="1">
        <v>43966</v>
      </c>
      <c r="B165">
        <v>440.70001220703125</v>
      </c>
      <c r="C165">
        <v>455</v>
      </c>
      <c r="D165">
        <v>437.510009765625</v>
      </c>
      <c r="E165">
        <v>454.19000244140625</v>
      </c>
      <c r="F165">
        <v>454.19000244140625</v>
      </c>
      <c r="G165">
        <v>7244000</v>
      </c>
      <c r="I165" s="5">
        <f t="shared" si="10"/>
        <v>2.7318836943867726E-2</v>
      </c>
      <c r="K165" s="5">
        <f t="shared" si="11"/>
        <v>163</v>
      </c>
      <c r="L165" s="5">
        <v>-2.3076428274802475E-2</v>
      </c>
    </row>
    <row r="166" spans="1:12" x14ac:dyDescent="0.25">
      <c r="A166" s="1">
        <v>43969</v>
      </c>
      <c r="B166">
        <v>451.16000366210938</v>
      </c>
      <c r="C166">
        <v>456.3599853515625</v>
      </c>
      <c r="D166">
        <v>443.35000610351563</v>
      </c>
      <c r="E166">
        <v>452.57998657226563</v>
      </c>
      <c r="F166">
        <v>452.57998657226563</v>
      </c>
      <c r="G166">
        <v>7773500</v>
      </c>
      <c r="I166" s="5">
        <f t="shared" si="10"/>
        <v>-3.5511046473782914E-3</v>
      </c>
      <c r="K166" s="5">
        <f t="shared" si="11"/>
        <v>164</v>
      </c>
      <c r="L166" s="5">
        <v>-2.2939574255168425E-2</v>
      </c>
    </row>
    <row r="167" spans="1:12" x14ac:dyDescent="0.25">
      <c r="A167" s="1">
        <v>43970</v>
      </c>
      <c r="B167">
        <v>453.39999389648438</v>
      </c>
      <c r="C167">
        <v>458.97000122070313</v>
      </c>
      <c r="D167">
        <v>450.47000122070313</v>
      </c>
      <c r="E167">
        <v>451.04000854492188</v>
      </c>
      <c r="F167">
        <v>451.04000854492188</v>
      </c>
      <c r="G167">
        <v>4810500</v>
      </c>
      <c r="I167" s="5">
        <f t="shared" si="10"/>
        <v>-3.4084671135547182E-3</v>
      </c>
      <c r="K167" s="5">
        <f t="shared" si="11"/>
        <v>165</v>
      </c>
      <c r="L167" s="5">
        <v>-2.2746265313822744E-2</v>
      </c>
    </row>
    <row r="168" spans="1:12" x14ac:dyDescent="0.25">
      <c r="A168" s="1">
        <v>43971</v>
      </c>
      <c r="B168">
        <v>454.25</v>
      </c>
      <c r="C168">
        <v>455.80999755859375</v>
      </c>
      <c r="D168">
        <v>444</v>
      </c>
      <c r="E168">
        <v>447.67001342773438</v>
      </c>
      <c r="F168">
        <v>447.67001342773438</v>
      </c>
      <c r="G168">
        <v>5607300</v>
      </c>
      <c r="I168" s="5">
        <f t="shared" si="10"/>
        <v>-7.4996624722307127E-3</v>
      </c>
      <c r="K168" s="5">
        <f t="shared" si="11"/>
        <v>166</v>
      </c>
      <c r="L168" s="5">
        <v>-2.2738126675378362E-2</v>
      </c>
    </row>
    <row r="169" spans="1:12" x14ac:dyDescent="0.25">
      <c r="A169" s="1">
        <v>43972</v>
      </c>
      <c r="B169">
        <v>448.55999755859375</v>
      </c>
      <c r="C169">
        <v>448.95999145507813</v>
      </c>
      <c r="D169">
        <v>430.25</v>
      </c>
      <c r="E169">
        <v>436.25</v>
      </c>
      <c r="F169">
        <v>436.25</v>
      </c>
      <c r="G169">
        <v>9117300</v>
      </c>
      <c r="I169" s="5">
        <f t="shared" si="10"/>
        <v>-2.5840910321865959E-2</v>
      </c>
      <c r="K169" s="5">
        <f t="shared" si="11"/>
        <v>167</v>
      </c>
      <c r="L169" s="5">
        <v>-2.273260145898252E-2</v>
      </c>
    </row>
    <row r="170" spans="1:12" x14ac:dyDescent="0.25">
      <c r="A170" s="1">
        <v>43973</v>
      </c>
      <c r="B170">
        <v>437</v>
      </c>
      <c r="C170">
        <v>439.08999633789063</v>
      </c>
      <c r="D170">
        <v>427.17999267578125</v>
      </c>
      <c r="E170">
        <v>429.32000732421875</v>
      </c>
      <c r="F170">
        <v>429.32000732421875</v>
      </c>
      <c r="G170">
        <v>5422300</v>
      </c>
      <c r="I170" s="5">
        <f t="shared" si="10"/>
        <v>-1.6012894843267855E-2</v>
      </c>
      <c r="K170" s="5">
        <f t="shared" si="11"/>
        <v>168</v>
      </c>
      <c r="L170" s="5">
        <v>-2.272985329998652E-2</v>
      </c>
    </row>
    <row r="171" spans="1:12" x14ac:dyDescent="0.25">
      <c r="A171" s="1">
        <v>43977</v>
      </c>
      <c r="B171">
        <v>427.76998901367188</v>
      </c>
      <c r="C171">
        <v>428.5</v>
      </c>
      <c r="D171">
        <v>413.1400146484375</v>
      </c>
      <c r="E171">
        <v>414.76998901367188</v>
      </c>
      <c r="F171">
        <v>414.76998901367188</v>
      </c>
      <c r="G171">
        <v>7881100</v>
      </c>
      <c r="I171" s="5">
        <f t="shared" si="10"/>
        <v>-3.4478455432836133E-2</v>
      </c>
      <c r="K171" s="5">
        <f t="shared" si="11"/>
        <v>169</v>
      </c>
      <c r="L171" s="5">
        <v>-2.2644304222453605E-2</v>
      </c>
    </row>
    <row r="172" spans="1:12" x14ac:dyDescent="0.25">
      <c r="A172" s="1">
        <v>43978</v>
      </c>
      <c r="B172">
        <v>410.3800048828125</v>
      </c>
      <c r="C172">
        <v>420.01998901367188</v>
      </c>
      <c r="D172">
        <v>397.8599853515625</v>
      </c>
      <c r="E172">
        <v>419.8900146484375</v>
      </c>
      <c r="F172">
        <v>419.8900146484375</v>
      </c>
      <c r="G172">
        <v>10446300</v>
      </c>
      <c r="I172" s="5">
        <f t="shared" si="10"/>
        <v>1.2268683858303183E-2</v>
      </c>
      <c r="K172" s="5">
        <f t="shared" si="11"/>
        <v>170</v>
      </c>
      <c r="L172" s="5">
        <v>-2.2437788445422251E-2</v>
      </c>
    </row>
    <row r="173" spans="1:12" x14ac:dyDescent="0.25">
      <c r="A173" s="1">
        <v>43979</v>
      </c>
      <c r="B173">
        <v>417.239990234375</v>
      </c>
      <c r="C173">
        <v>422.3699951171875</v>
      </c>
      <c r="D173">
        <v>411.5</v>
      </c>
      <c r="E173">
        <v>413.44000244140625</v>
      </c>
      <c r="F173">
        <v>413.44000244140625</v>
      </c>
      <c r="G173">
        <v>5655100</v>
      </c>
      <c r="I173" s="5">
        <f t="shared" si="10"/>
        <v>-1.5480400039549484E-2</v>
      </c>
      <c r="K173" s="5">
        <f t="shared" si="11"/>
        <v>171</v>
      </c>
      <c r="L173" s="5">
        <v>-2.2391129322482467E-2</v>
      </c>
    </row>
    <row r="174" spans="1:12" x14ac:dyDescent="0.25">
      <c r="A174" s="1">
        <v>43980</v>
      </c>
      <c r="B174">
        <v>417.45999145507813</v>
      </c>
      <c r="C174">
        <v>420.29998779296875</v>
      </c>
      <c r="D174">
        <v>411.85000610351563</v>
      </c>
      <c r="E174">
        <v>419.73001098632813</v>
      </c>
      <c r="F174">
        <v>419.73001098632813</v>
      </c>
      <c r="G174">
        <v>5254900</v>
      </c>
      <c r="I174" s="5">
        <f t="shared" si="10"/>
        <v>1.5099266528768055E-2</v>
      </c>
      <c r="K174" s="5">
        <f t="shared" si="11"/>
        <v>172</v>
      </c>
      <c r="L174" s="5">
        <v>-2.2388231367674413E-2</v>
      </c>
    </row>
    <row r="175" spans="1:12" x14ac:dyDescent="0.25">
      <c r="A175" s="1">
        <v>43983</v>
      </c>
      <c r="B175">
        <v>418.82998657226563</v>
      </c>
      <c r="C175">
        <v>426.72000122070313</v>
      </c>
      <c r="D175">
        <v>415.98001098632813</v>
      </c>
      <c r="E175">
        <v>425.92001342773438</v>
      </c>
      <c r="F175">
        <v>425.92001342773438</v>
      </c>
      <c r="G175">
        <v>3743700</v>
      </c>
      <c r="I175" s="5">
        <f t="shared" si="10"/>
        <v>1.4639893145115464E-2</v>
      </c>
      <c r="K175" s="5">
        <f t="shared" si="11"/>
        <v>173</v>
      </c>
      <c r="L175" s="5">
        <v>-2.2352062735333869E-2</v>
      </c>
    </row>
    <row r="176" spans="1:12" x14ac:dyDescent="0.25">
      <c r="A176" s="1">
        <v>43984</v>
      </c>
      <c r="B176">
        <v>425.8699951171875</v>
      </c>
      <c r="C176">
        <v>427.58999633789063</v>
      </c>
      <c r="D176">
        <v>419.45999145507813</v>
      </c>
      <c r="E176">
        <v>427.30999755859375</v>
      </c>
      <c r="F176">
        <v>427.30999755859375</v>
      </c>
      <c r="G176">
        <v>3494800</v>
      </c>
      <c r="I176" s="5">
        <f t="shared" si="10"/>
        <v>3.2581726910635585E-3</v>
      </c>
      <c r="K176" s="5">
        <f t="shared" si="11"/>
        <v>174</v>
      </c>
      <c r="L176" s="5">
        <v>-2.2261050890897742E-2</v>
      </c>
    </row>
    <row r="177" spans="1:12" x14ac:dyDescent="0.25">
      <c r="A177" s="1">
        <v>43985</v>
      </c>
      <c r="B177">
        <v>426.95001220703125</v>
      </c>
      <c r="C177">
        <v>427.10000610351563</v>
      </c>
      <c r="D177">
        <v>418.04998779296875</v>
      </c>
      <c r="E177">
        <v>421.97000122070313</v>
      </c>
      <c r="F177">
        <v>421.97000122070313</v>
      </c>
      <c r="G177">
        <v>4316000</v>
      </c>
      <c r="I177" s="5">
        <f t="shared" si="10"/>
        <v>-1.2575515069765357E-2</v>
      </c>
      <c r="K177" s="5">
        <f t="shared" si="11"/>
        <v>175</v>
      </c>
      <c r="L177" s="5">
        <v>-2.207968402786812E-2</v>
      </c>
    </row>
    <row r="178" spans="1:12" x14ac:dyDescent="0.25">
      <c r="A178" s="1">
        <v>43986</v>
      </c>
      <c r="B178">
        <v>422.3900146484375</v>
      </c>
      <c r="C178">
        <v>428.70999145507813</v>
      </c>
      <c r="D178">
        <v>410.02999877929688</v>
      </c>
      <c r="E178">
        <v>414.32998657226563</v>
      </c>
      <c r="F178">
        <v>414.32998657226563</v>
      </c>
      <c r="G178">
        <v>5410500</v>
      </c>
      <c r="I178" s="5">
        <f t="shared" si="10"/>
        <v>-1.8271499004830199E-2</v>
      </c>
      <c r="K178" s="5">
        <f t="shared" si="11"/>
        <v>176</v>
      </c>
      <c r="L178" s="5">
        <v>-2.1928806293136604E-2</v>
      </c>
    </row>
    <row r="179" spans="1:12" x14ac:dyDescent="0.25">
      <c r="A179" s="1">
        <v>43987</v>
      </c>
      <c r="B179">
        <v>407.29000854492188</v>
      </c>
      <c r="C179">
        <v>420.239990234375</v>
      </c>
      <c r="D179">
        <v>404.25</v>
      </c>
      <c r="E179">
        <v>419.60000610351563</v>
      </c>
      <c r="F179">
        <v>419.60000610351563</v>
      </c>
      <c r="G179">
        <v>5099600</v>
      </c>
      <c r="I179" s="5">
        <f t="shared" si="10"/>
        <v>1.2639165718537166E-2</v>
      </c>
      <c r="K179" s="5">
        <f t="shared" si="11"/>
        <v>177</v>
      </c>
      <c r="L179" s="5">
        <v>-2.1679802281696286E-2</v>
      </c>
    </row>
    <row r="180" spans="1:12" x14ac:dyDescent="0.25">
      <c r="A180" s="1">
        <v>43990</v>
      </c>
      <c r="B180">
        <v>416</v>
      </c>
      <c r="C180">
        <v>420.79998779296875</v>
      </c>
      <c r="D180">
        <v>406.5</v>
      </c>
      <c r="E180">
        <v>419.489990234375</v>
      </c>
      <c r="F180">
        <v>419.489990234375</v>
      </c>
      <c r="G180">
        <v>5851500</v>
      </c>
      <c r="I180" s="5">
        <f t="shared" si="10"/>
        <v>-2.6222662706312094E-4</v>
      </c>
      <c r="K180" s="5">
        <f t="shared" si="11"/>
        <v>178</v>
      </c>
      <c r="L180" s="5">
        <v>-2.1461024081908225E-2</v>
      </c>
    </row>
    <row r="181" spans="1:12" x14ac:dyDescent="0.25">
      <c r="A181" s="1">
        <v>43991</v>
      </c>
      <c r="B181">
        <v>421.64999389648438</v>
      </c>
      <c r="C181">
        <v>434.73001098632813</v>
      </c>
      <c r="D181">
        <v>420.30999755859375</v>
      </c>
      <c r="E181">
        <v>434.04998779296875</v>
      </c>
      <c r="F181">
        <v>434.04998779296875</v>
      </c>
      <c r="G181">
        <v>6797000</v>
      </c>
      <c r="I181" s="5">
        <f t="shared" si="10"/>
        <v>3.4120042273144219E-2</v>
      </c>
      <c r="K181" s="5">
        <f t="shared" si="11"/>
        <v>179</v>
      </c>
      <c r="L181" s="5">
        <v>-2.1457977041481602E-2</v>
      </c>
    </row>
    <row r="182" spans="1:12" x14ac:dyDescent="0.25">
      <c r="A182" s="1">
        <v>43992</v>
      </c>
      <c r="B182">
        <v>436</v>
      </c>
      <c r="C182">
        <v>439.69000244140625</v>
      </c>
      <c r="D182">
        <v>430.54998779296875</v>
      </c>
      <c r="E182">
        <v>434.48001098632813</v>
      </c>
      <c r="F182">
        <v>434.48001098632813</v>
      </c>
      <c r="G182">
        <v>4896900</v>
      </c>
      <c r="I182" s="5">
        <f t="shared" si="10"/>
        <v>9.9023229848691006E-4</v>
      </c>
      <c r="K182" s="5">
        <f t="shared" si="11"/>
        <v>180</v>
      </c>
      <c r="L182" s="5">
        <v>-2.1402458887820705E-2</v>
      </c>
    </row>
    <row r="183" spans="1:12" x14ac:dyDescent="0.25">
      <c r="A183" s="1">
        <v>43993</v>
      </c>
      <c r="B183">
        <v>428.20001220703125</v>
      </c>
      <c r="C183">
        <v>445.57000732421875</v>
      </c>
      <c r="D183">
        <v>424.16000366210938</v>
      </c>
      <c r="E183">
        <v>425.55999755859375</v>
      </c>
      <c r="F183">
        <v>425.55999755859375</v>
      </c>
      <c r="G183">
        <v>7462900</v>
      </c>
      <c r="I183" s="5">
        <f t="shared" si="10"/>
        <v>-2.0743996101504129E-2</v>
      </c>
      <c r="K183" s="5">
        <f t="shared" si="11"/>
        <v>181</v>
      </c>
      <c r="L183" s="5">
        <v>-2.1384208764683117E-2</v>
      </c>
    </row>
    <row r="184" spans="1:12" x14ac:dyDescent="0.25">
      <c r="A184" s="1">
        <v>43994</v>
      </c>
      <c r="B184">
        <v>429</v>
      </c>
      <c r="C184">
        <v>434.05999755859375</v>
      </c>
      <c r="D184">
        <v>412.45001220703125</v>
      </c>
      <c r="E184">
        <v>418.07000732421875</v>
      </c>
      <c r="F184">
        <v>418.07000732421875</v>
      </c>
      <c r="G184">
        <v>6461100</v>
      </c>
      <c r="I184" s="5">
        <f t="shared" si="10"/>
        <v>-1.77570427730795E-2</v>
      </c>
      <c r="K184" s="5">
        <f t="shared" si="11"/>
        <v>182</v>
      </c>
      <c r="L184" s="5">
        <v>-2.137356068986055E-2</v>
      </c>
    </row>
    <row r="185" spans="1:12" x14ac:dyDescent="0.25">
      <c r="A185" s="1">
        <v>43997</v>
      </c>
      <c r="B185">
        <v>421.39999389648438</v>
      </c>
      <c r="C185">
        <v>426.489990234375</v>
      </c>
      <c r="D185">
        <v>415.42001342773438</v>
      </c>
      <c r="E185">
        <v>425.5</v>
      </c>
      <c r="F185">
        <v>425.5</v>
      </c>
      <c r="G185">
        <v>4467900</v>
      </c>
      <c r="I185" s="5">
        <f t="shared" si="10"/>
        <v>1.7616047875269221E-2</v>
      </c>
      <c r="K185" s="5">
        <f t="shared" si="11"/>
        <v>183</v>
      </c>
      <c r="L185" s="5">
        <v>-2.1276372006012397E-2</v>
      </c>
    </row>
    <row r="186" spans="1:12" x14ac:dyDescent="0.25">
      <c r="A186" s="1">
        <v>43998</v>
      </c>
      <c r="B186">
        <v>425.760009765625</v>
      </c>
      <c r="C186">
        <v>437.95999145507813</v>
      </c>
      <c r="D186">
        <v>425.17999267578125</v>
      </c>
      <c r="E186">
        <v>436.1300048828125</v>
      </c>
      <c r="F186">
        <v>436.1300048828125</v>
      </c>
      <c r="G186">
        <v>5507900</v>
      </c>
      <c r="I186" s="5">
        <f t="shared" si="10"/>
        <v>2.4675427226602348E-2</v>
      </c>
      <c r="K186" s="5">
        <f t="shared" si="11"/>
        <v>184</v>
      </c>
      <c r="L186" s="5">
        <v>-2.1210895613123452E-2</v>
      </c>
    </row>
    <row r="187" spans="1:12" x14ac:dyDescent="0.25">
      <c r="A187" s="1">
        <v>43999</v>
      </c>
      <c r="B187">
        <v>441.82000732421875</v>
      </c>
      <c r="C187">
        <v>450.45999145507813</v>
      </c>
      <c r="D187">
        <v>439.22000122070313</v>
      </c>
      <c r="E187">
        <v>447.76998901367188</v>
      </c>
      <c r="F187">
        <v>447.76998901367188</v>
      </c>
      <c r="G187">
        <v>6529600</v>
      </c>
      <c r="I187" s="5">
        <f t="shared" si="10"/>
        <v>2.633930795092497E-2</v>
      </c>
      <c r="K187" s="5">
        <f t="shared" si="11"/>
        <v>185</v>
      </c>
      <c r="L187" s="5">
        <v>-2.0788877312871691E-2</v>
      </c>
    </row>
    <row r="188" spans="1:12" x14ac:dyDescent="0.25">
      <c r="A188" s="1">
        <v>44000</v>
      </c>
      <c r="B188">
        <v>448.73001098632813</v>
      </c>
      <c r="C188">
        <v>452.760009765625</v>
      </c>
      <c r="D188">
        <v>442.79998779296875</v>
      </c>
      <c r="E188">
        <v>449.8699951171875</v>
      </c>
      <c r="F188">
        <v>449.8699951171875</v>
      </c>
      <c r="G188">
        <v>4277600</v>
      </c>
      <c r="I188" s="5">
        <f t="shared" si="10"/>
        <v>4.6789580942570861E-3</v>
      </c>
      <c r="K188" s="5">
        <f t="shared" si="11"/>
        <v>186</v>
      </c>
      <c r="L188" s="5">
        <v>-2.0750896295552251E-2</v>
      </c>
    </row>
    <row r="189" spans="1:12" x14ac:dyDescent="0.25">
      <c r="A189" s="1">
        <v>44001</v>
      </c>
      <c r="B189">
        <v>449.1199951171875</v>
      </c>
      <c r="C189">
        <v>453.97000122070313</v>
      </c>
      <c r="D189">
        <v>445.60000610351563</v>
      </c>
      <c r="E189">
        <v>453.72000122070313</v>
      </c>
      <c r="F189">
        <v>453.72000122070313</v>
      </c>
      <c r="G189">
        <v>5934500</v>
      </c>
      <c r="I189" s="5">
        <f t="shared" si="10"/>
        <v>8.5216290960614723E-3</v>
      </c>
      <c r="K189" s="5">
        <f t="shared" si="11"/>
        <v>187</v>
      </c>
      <c r="L189" s="5">
        <v>-2.0743996101504129E-2</v>
      </c>
    </row>
    <row r="190" spans="1:12" x14ac:dyDescent="0.25">
      <c r="A190" s="1">
        <v>44004</v>
      </c>
      <c r="B190">
        <v>455.010009765625</v>
      </c>
      <c r="C190">
        <v>468.58999633789063</v>
      </c>
      <c r="D190">
        <v>454.20999145507813</v>
      </c>
      <c r="E190">
        <v>468.04000854492188</v>
      </c>
      <c r="F190">
        <v>468.04000854492188</v>
      </c>
      <c r="G190">
        <v>6272100</v>
      </c>
      <c r="I190" s="5">
        <f t="shared" si="10"/>
        <v>3.1073510226302285E-2</v>
      </c>
      <c r="K190" s="5">
        <f t="shared" si="11"/>
        <v>188</v>
      </c>
      <c r="L190" s="5">
        <v>-2.0657851503992377E-2</v>
      </c>
    </row>
    <row r="191" spans="1:12" x14ac:dyDescent="0.25">
      <c r="A191" s="1">
        <v>44005</v>
      </c>
      <c r="B191">
        <v>466.5</v>
      </c>
      <c r="C191">
        <v>474.010009765625</v>
      </c>
      <c r="D191">
        <v>464.5</v>
      </c>
      <c r="E191">
        <v>466.260009765625</v>
      </c>
      <c r="F191">
        <v>466.260009765625</v>
      </c>
      <c r="G191">
        <v>5948400</v>
      </c>
      <c r="I191" s="5">
        <f t="shared" si="10"/>
        <v>-3.8103412137800081E-3</v>
      </c>
      <c r="K191" s="5">
        <f t="shared" si="11"/>
        <v>189</v>
      </c>
      <c r="L191" s="5">
        <v>-2.0611662922503701E-2</v>
      </c>
    </row>
    <row r="192" spans="1:12" x14ac:dyDescent="0.25">
      <c r="A192" s="1">
        <v>44006</v>
      </c>
      <c r="B192">
        <v>468.54000854492188</v>
      </c>
      <c r="C192">
        <v>472.3599853515625</v>
      </c>
      <c r="D192">
        <v>454</v>
      </c>
      <c r="E192">
        <v>457.85000610351563</v>
      </c>
      <c r="F192">
        <v>457.85000610351563</v>
      </c>
      <c r="G192">
        <v>4826200</v>
      </c>
      <c r="I192" s="5">
        <f t="shared" si="10"/>
        <v>-1.8201806509236269E-2</v>
      </c>
      <c r="K192" s="5">
        <f t="shared" si="11"/>
        <v>190</v>
      </c>
      <c r="L192" s="5">
        <v>-2.0546104257929545E-2</v>
      </c>
    </row>
    <row r="193" spans="1:12" x14ac:dyDescent="0.25">
      <c r="A193" s="1">
        <v>44007</v>
      </c>
      <c r="B193">
        <v>458.8599853515625</v>
      </c>
      <c r="C193">
        <v>467.010009765625</v>
      </c>
      <c r="D193">
        <v>454</v>
      </c>
      <c r="E193">
        <v>465.91000366210938</v>
      </c>
      <c r="F193">
        <v>465.91000366210938</v>
      </c>
      <c r="G193">
        <v>4134500</v>
      </c>
      <c r="I193" s="5">
        <f t="shared" si="10"/>
        <v>1.7450857401408473E-2</v>
      </c>
      <c r="K193" s="5">
        <f t="shared" si="11"/>
        <v>191</v>
      </c>
      <c r="L193" s="5">
        <v>-2.0478554720000691E-2</v>
      </c>
    </row>
    <row r="194" spans="1:12" x14ac:dyDescent="0.25">
      <c r="A194" s="1">
        <v>44008</v>
      </c>
      <c r="B194">
        <v>466.3900146484375</v>
      </c>
      <c r="C194">
        <v>468.02999877929688</v>
      </c>
      <c r="D194">
        <v>442.239990234375</v>
      </c>
      <c r="E194">
        <v>443.39999389648438</v>
      </c>
      <c r="F194">
        <v>443.39999389648438</v>
      </c>
      <c r="G194">
        <v>6804700</v>
      </c>
      <c r="I194" s="5">
        <f t="shared" si="10"/>
        <v>-4.9520206869016287E-2</v>
      </c>
      <c r="K194" s="5">
        <f t="shared" si="11"/>
        <v>192</v>
      </c>
      <c r="L194" s="5">
        <v>-2.0419705494459945E-2</v>
      </c>
    </row>
    <row r="195" spans="1:12" x14ac:dyDescent="0.25">
      <c r="A195" s="1">
        <v>44011</v>
      </c>
      <c r="B195">
        <v>445.23001098632813</v>
      </c>
      <c r="C195">
        <v>447.67001342773438</v>
      </c>
      <c r="D195">
        <v>432.1400146484375</v>
      </c>
      <c r="E195">
        <v>447.239990234375</v>
      </c>
      <c r="F195">
        <v>447.239990234375</v>
      </c>
      <c r="G195">
        <v>4844000</v>
      </c>
      <c r="I195" s="5">
        <f t="shared" si="10"/>
        <v>8.6230580269025317E-3</v>
      </c>
      <c r="K195" s="5">
        <f t="shared" si="11"/>
        <v>193</v>
      </c>
      <c r="L195" s="5">
        <v>-2.0287837298116226E-2</v>
      </c>
    </row>
    <row r="196" spans="1:12" x14ac:dyDescent="0.25">
      <c r="A196" s="1">
        <v>44012</v>
      </c>
      <c r="B196">
        <v>450.01998901367188</v>
      </c>
      <c r="C196">
        <v>457.58999633789063</v>
      </c>
      <c r="D196">
        <v>447</v>
      </c>
      <c r="E196">
        <v>455.04000854492188</v>
      </c>
      <c r="F196">
        <v>455.04000854492188</v>
      </c>
      <c r="G196">
        <v>4198500</v>
      </c>
      <c r="I196" s="5">
        <f t="shared" ref="I196:I259" si="12">LN(F196/F195)</f>
        <v>1.7290004509363445E-2</v>
      </c>
      <c r="K196" s="5">
        <f t="shared" ref="K196:K259" si="13">_xlfn.RANK.AVG(L196,_xlfn.ANCHORARRAY($L$3),1)</f>
        <v>194</v>
      </c>
      <c r="L196" s="5">
        <v>-2.0055266929335132E-2</v>
      </c>
    </row>
    <row r="197" spans="1:12" x14ac:dyDescent="0.25">
      <c r="A197" s="1">
        <v>44013</v>
      </c>
      <c r="B197">
        <v>454</v>
      </c>
      <c r="C197">
        <v>488.23001098632813</v>
      </c>
      <c r="D197">
        <v>454</v>
      </c>
      <c r="E197">
        <v>485.6400146484375</v>
      </c>
      <c r="F197">
        <v>485.6400146484375</v>
      </c>
      <c r="G197">
        <v>9705900</v>
      </c>
      <c r="I197" s="5">
        <f t="shared" si="12"/>
        <v>6.5082292885716722E-2</v>
      </c>
      <c r="K197" s="5">
        <f t="shared" si="13"/>
        <v>195</v>
      </c>
      <c r="L197" s="5">
        <v>-2.0029821173897122E-2</v>
      </c>
    </row>
    <row r="198" spans="1:12" x14ac:dyDescent="0.25">
      <c r="A198" s="1">
        <v>44014</v>
      </c>
      <c r="B198">
        <v>485.6400146484375</v>
      </c>
      <c r="C198">
        <v>492.27999877929688</v>
      </c>
      <c r="D198">
        <v>475.52999877929688</v>
      </c>
      <c r="E198">
        <v>476.8900146484375</v>
      </c>
      <c r="F198">
        <v>476.8900146484375</v>
      </c>
      <c r="G198">
        <v>6351500</v>
      </c>
      <c r="I198" s="5">
        <f t="shared" si="12"/>
        <v>-1.8181751794560948E-2</v>
      </c>
      <c r="K198" s="5">
        <f t="shared" si="13"/>
        <v>196</v>
      </c>
      <c r="L198" s="5">
        <v>-1.9993942053199227E-2</v>
      </c>
    </row>
    <row r="199" spans="1:12" x14ac:dyDescent="0.25">
      <c r="A199" s="1">
        <v>44018</v>
      </c>
      <c r="B199">
        <v>480.76998901367188</v>
      </c>
      <c r="C199">
        <v>499.5</v>
      </c>
      <c r="D199">
        <v>479.79998779296875</v>
      </c>
      <c r="E199">
        <v>493.80999755859375</v>
      </c>
      <c r="F199">
        <v>493.80999755859375</v>
      </c>
      <c r="G199">
        <v>7839000</v>
      </c>
      <c r="I199" s="5">
        <f t="shared" si="12"/>
        <v>3.4864935831445801E-2</v>
      </c>
      <c r="K199" s="5">
        <f t="shared" si="13"/>
        <v>197</v>
      </c>
      <c r="L199" s="5">
        <v>-1.9946970648244258E-2</v>
      </c>
    </row>
    <row r="200" spans="1:12" x14ac:dyDescent="0.25">
      <c r="A200" s="1">
        <v>44019</v>
      </c>
      <c r="B200">
        <v>497.30999755859375</v>
      </c>
      <c r="C200">
        <v>504.82000732421875</v>
      </c>
      <c r="D200">
        <v>490.82998657226563</v>
      </c>
      <c r="E200">
        <v>493.16000366210938</v>
      </c>
      <c r="F200">
        <v>493.16000366210938</v>
      </c>
      <c r="G200">
        <v>5669900</v>
      </c>
      <c r="I200" s="5">
        <f t="shared" si="12"/>
        <v>-1.3171504496641137E-3</v>
      </c>
      <c r="K200" s="5">
        <f t="shared" si="13"/>
        <v>198</v>
      </c>
      <c r="L200" s="5">
        <v>-1.9889075985881261E-2</v>
      </c>
    </row>
    <row r="201" spans="1:12" x14ac:dyDescent="0.25">
      <c r="A201" s="1">
        <v>44020</v>
      </c>
      <c r="B201">
        <v>498.57998657226563</v>
      </c>
      <c r="C201">
        <v>505.10000610351563</v>
      </c>
      <c r="D201">
        <v>493.80999755859375</v>
      </c>
      <c r="E201">
        <v>502.77999877929688</v>
      </c>
      <c r="F201">
        <v>502.77999877929688</v>
      </c>
      <c r="G201">
        <v>5691700</v>
      </c>
      <c r="I201" s="5">
        <f t="shared" si="12"/>
        <v>1.9319023823479362E-2</v>
      </c>
      <c r="K201" s="5">
        <f t="shared" si="13"/>
        <v>199</v>
      </c>
      <c r="L201" s="5">
        <v>-1.9870911562381667E-2</v>
      </c>
    </row>
    <row r="202" spans="1:12" x14ac:dyDescent="0.25">
      <c r="A202" s="1">
        <v>44021</v>
      </c>
      <c r="B202">
        <v>508.39999389648438</v>
      </c>
      <c r="C202">
        <v>510</v>
      </c>
      <c r="D202">
        <v>495.77999877929688</v>
      </c>
      <c r="E202">
        <v>507.760009765625</v>
      </c>
      <c r="F202">
        <v>507.760009765625</v>
      </c>
      <c r="G202">
        <v>5840500</v>
      </c>
      <c r="I202" s="5">
        <f t="shared" si="12"/>
        <v>9.8562179813370711E-3</v>
      </c>
      <c r="K202" s="5">
        <f t="shared" si="13"/>
        <v>200</v>
      </c>
      <c r="L202" s="5">
        <v>-1.9860380667351255E-2</v>
      </c>
    </row>
    <row r="203" spans="1:12" x14ac:dyDescent="0.25">
      <c r="A203" s="1">
        <v>44022</v>
      </c>
      <c r="B203">
        <v>519.72998046875</v>
      </c>
      <c r="C203">
        <v>555.8800048828125</v>
      </c>
      <c r="D203">
        <v>511.27999877929688</v>
      </c>
      <c r="E203">
        <v>548.72998046875</v>
      </c>
      <c r="F203">
        <v>548.72998046875</v>
      </c>
      <c r="G203">
        <v>21605600</v>
      </c>
      <c r="I203" s="5">
        <f t="shared" si="12"/>
        <v>7.7597567431419087E-2</v>
      </c>
      <c r="K203" s="5">
        <f t="shared" si="13"/>
        <v>201</v>
      </c>
      <c r="L203" s="5">
        <v>-1.9845488773762836E-2</v>
      </c>
    </row>
    <row r="204" spans="1:12" x14ac:dyDescent="0.25">
      <c r="A204" s="1">
        <v>44025</v>
      </c>
      <c r="B204">
        <v>567.97998046875</v>
      </c>
      <c r="C204">
        <v>575.3699951171875</v>
      </c>
      <c r="D204">
        <v>520.96002197265625</v>
      </c>
      <c r="E204">
        <v>525.5</v>
      </c>
      <c r="F204">
        <v>525.5</v>
      </c>
      <c r="G204">
        <v>18399000</v>
      </c>
      <c r="I204" s="5">
        <f t="shared" si="12"/>
        <v>-4.3256291345385306E-2</v>
      </c>
      <c r="K204" s="5">
        <f t="shared" si="13"/>
        <v>202</v>
      </c>
      <c r="L204" s="5">
        <v>-1.9761170378256816E-2</v>
      </c>
    </row>
    <row r="205" spans="1:12" x14ac:dyDescent="0.25">
      <c r="A205" s="1">
        <v>44026</v>
      </c>
      <c r="B205">
        <v>517.08001708984375</v>
      </c>
      <c r="C205">
        <v>525.5</v>
      </c>
      <c r="D205">
        <v>490.489990234375</v>
      </c>
      <c r="E205">
        <v>524.8800048828125</v>
      </c>
      <c r="F205">
        <v>524.8800048828125</v>
      </c>
      <c r="G205">
        <v>15083300</v>
      </c>
      <c r="I205" s="5">
        <f t="shared" si="12"/>
        <v>-1.1805159776621663E-3</v>
      </c>
      <c r="K205" s="5">
        <f t="shared" si="13"/>
        <v>203</v>
      </c>
      <c r="L205" s="5">
        <v>-1.9759810695922468E-2</v>
      </c>
    </row>
    <row r="206" spans="1:12" x14ac:dyDescent="0.25">
      <c r="A206" s="1">
        <v>44027</v>
      </c>
      <c r="B206">
        <v>516.29998779296875</v>
      </c>
      <c r="C206">
        <v>529</v>
      </c>
      <c r="D206">
        <v>510.17999267578125</v>
      </c>
      <c r="E206">
        <v>523.260009765625</v>
      </c>
      <c r="F206">
        <v>523.260009765625</v>
      </c>
      <c r="G206">
        <v>10066700</v>
      </c>
      <c r="I206" s="5">
        <f t="shared" si="12"/>
        <v>-3.0911832093493885E-3</v>
      </c>
      <c r="K206" s="5">
        <f t="shared" si="13"/>
        <v>204</v>
      </c>
      <c r="L206" s="5">
        <v>-1.966338694940364E-2</v>
      </c>
    </row>
    <row r="207" spans="1:12" x14ac:dyDescent="0.25">
      <c r="A207" s="1">
        <v>44028</v>
      </c>
      <c r="B207">
        <v>526.47998046875</v>
      </c>
      <c r="C207">
        <v>535.53997802734375</v>
      </c>
      <c r="D207">
        <v>504.3599853515625</v>
      </c>
      <c r="E207">
        <v>527.3900146484375</v>
      </c>
      <c r="F207">
        <v>527.3900146484375</v>
      </c>
      <c r="G207">
        <v>24499000</v>
      </c>
      <c r="I207" s="5">
        <f t="shared" si="12"/>
        <v>7.8618494443099783E-3</v>
      </c>
      <c r="K207" s="5">
        <f t="shared" si="13"/>
        <v>205</v>
      </c>
      <c r="L207" s="5">
        <v>-1.9539410751961202E-2</v>
      </c>
    </row>
    <row r="208" spans="1:12" x14ac:dyDescent="0.25">
      <c r="A208" s="1">
        <v>44029</v>
      </c>
      <c r="B208">
        <v>494.8699951171875</v>
      </c>
      <c r="C208">
        <v>503.58999633789063</v>
      </c>
      <c r="D208">
        <v>484.1400146484375</v>
      </c>
      <c r="E208">
        <v>492.989990234375</v>
      </c>
      <c r="F208">
        <v>492.989990234375</v>
      </c>
      <c r="G208">
        <v>24991400</v>
      </c>
      <c r="I208" s="5">
        <f t="shared" si="12"/>
        <v>-6.745147052196783E-2</v>
      </c>
      <c r="K208" s="5">
        <f t="shared" si="13"/>
        <v>206</v>
      </c>
      <c r="L208" s="5">
        <v>-1.9527795859019079E-2</v>
      </c>
    </row>
    <row r="209" spans="1:12" x14ac:dyDescent="0.25">
      <c r="A209" s="1">
        <v>44032</v>
      </c>
      <c r="B209">
        <v>489.1400146484375</v>
      </c>
      <c r="C209">
        <v>504.5</v>
      </c>
      <c r="D209">
        <v>484.20001220703125</v>
      </c>
      <c r="E209">
        <v>502.41000366210938</v>
      </c>
      <c r="F209">
        <v>502.41000366210938</v>
      </c>
      <c r="G209">
        <v>11940300</v>
      </c>
      <c r="I209" s="5">
        <f t="shared" si="12"/>
        <v>1.8927656651245642E-2</v>
      </c>
      <c r="K209" s="5">
        <f t="shared" si="13"/>
        <v>207</v>
      </c>
      <c r="L209" s="5">
        <v>-1.9239573061502077E-2</v>
      </c>
    </row>
    <row r="210" spans="1:12" x14ac:dyDescent="0.25">
      <c r="A210" s="1">
        <v>44033</v>
      </c>
      <c r="B210">
        <v>506</v>
      </c>
      <c r="C210">
        <v>506.22000122070313</v>
      </c>
      <c r="D210">
        <v>488.6099853515625</v>
      </c>
      <c r="E210">
        <v>490.10000610351563</v>
      </c>
      <c r="F210">
        <v>490.10000610351563</v>
      </c>
      <c r="G210">
        <v>9113700</v>
      </c>
      <c r="I210" s="5">
        <f t="shared" si="12"/>
        <v>-2.4807062334467389E-2</v>
      </c>
      <c r="K210" s="5">
        <f t="shared" si="13"/>
        <v>208</v>
      </c>
      <c r="L210" s="5">
        <v>-1.8985431985882643E-2</v>
      </c>
    </row>
    <row r="211" spans="1:12" x14ac:dyDescent="0.25">
      <c r="A211" s="1">
        <v>44034</v>
      </c>
      <c r="B211">
        <v>492.19000244140625</v>
      </c>
      <c r="C211">
        <v>497.20001220703125</v>
      </c>
      <c r="D211">
        <v>487.20001220703125</v>
      </c>
      <c r="E211">
        <v>489.82000732421875</v>
      </c>
      <c r="F211">
        <v>489.82000732421875</v>
      </c>
      <c r="G211">
        <v>6954100</v>
      </c>
      <c r="I211" s="5">
        <f t="shared" si="12"/>
        <v>-5.7147273875470417E-4</v>
      </c>
      <c r="K211" s="5">
        <f t="shared" si="13"/>
        <v>209</v>
      </c>
      <c r="L211" s="5">
        <v>-1.8925665518143179E-2</v>
      </c>
    </row>
    <row r="212" spans="1:12" x14ac:dyDescent="0.25">
      <c r="A212" s="1">
        <v>44035</v>
      </c>
      <c r="B212">
        <v>491.1300048828125</v>
      </c>
      <c r="C212">
        <v>491.89999389648438</v>
      </c>
      <c r="D212">
        <v>472.01998901367188</v>
      </c>
      <c r="E212">
        <v>477.57998657226563</v>
      </c>
      <c r="F212">
        <v>477.57998657226563</v>
      </c>
      <c r="G212">
        <v>7722000</v>
      </c>
      <c r="I212" s="5">
        <f t="shared" si="12"/>
        <v>-2.5306334591894217E-2</v>
      </c>
      <c r="K212" s="5">
        <f t="shared" si="13"/>
        <v>210</v>
      </c>
      <c r="L212" s="5">
        <v>-1.8672611678405466E-2</v>
      </c>
    </row>
    <row r="213" spans="1:12" x14ac:dyDescent="0.25">
      <c r="A213" s="1">
        <v>44036</v>
      </c>
      <c r="B213">
        <v>468.76998901367188</v>
      </c>
      <c r="C213">
        <v>487.17001342773438</v>
      </c>
      <c r="D213">
        <v>467.54000854492188</v>
      </c>
      <c r="E213">
        <v>480.45001220703125</v>
      </c>
      <c r="F213">
        <v>480.45001220703125</v>
      </c>
      <c r="G213">
        <v>7746200</v>
      </c>
      <c r="I213" s="5">
        <f t="shared" si="12"/>
        <v>5.9915330923065837E-3</v>
      </c>
      <c r="K213" s="5">
        <f t="shared" si="13"/>
        <v>211</v>
      </c>
      <c r="L213" s="5">
        <v>-1.8651467390159313E-2</v>
      </c>
    </row>
    <row r="214" spans="1:12" x14ac:dyDescent="0.25">
      <c r="A214" s="1">
        <v>44039</v>
      </c>
      <c r="B214">
        <v>484.510009765625</v>
      </c>
      <c r="C214">
        <v>496.92001342773438</v>
      </c>
      <c r="D214">
        <v>482.30999755859375</v>
      </c>
      <c r="E214">
        <v>495.64999389648438</v>
      </c>
      <c r="F214">
        <v>495.64999389648438</v>
      </c>
      <c r="G214">
        <v>7863100</v>
      </c>
      <c r="I214" s="5">
        <f t="shared" si="12"/>
        <v>3.1146830033969824E-2</v>
      </c>
      <c r="K214" s="5">
        <f t="shared" si="13"/>
        <v>212</v>
      </c>
      <c r="L214" s="5">
        <v>-1.8622178225612355E-2</v>
      </c>
    </row>
    <row r="215" spans="1:12" x14ac:dyDescent="0.25">
      <c r="A215" s="1">
        <v>44040</v>
      </c>
      <c r="B215">
        <v>496.01998901367188</v>
      </c>
      <c r="C215">
        <v>497.79000854492188</v>
      </c>
      <c r="D215">
        <v>487.760009765625</v>
      </c>
      <c r="E215">
        <v>488.510009765625</v>
      </c>
      <c r="F215">
        <v>488.510009765625</v>
      </c>
      <c r="G215">
        <v>5986700</v>
      </c>
      <c r="I215" s="5">
        <f t="shared" si="12"/>
        <v>-1.4510058071725942E-2</v>
      </c>
      <c r="K215" s="5">
        <f t="shared" si="13"/>
        <v>213</v>
      </c>
      <c r="L215" s="5">
        <v>-1.8509868470565686E-2</v>
      </c>
    </row>
    <row r="216" spans="1:12" x14ac:dyDescent="0.25">
      <c r="A216" s="1">
        <v>44041</v>
      </c>
      <c r="B216">
        <v>492.25</v>
      </c>
      <c r="C216">
        <v>494.92001342773438</v>
      </c>
      <c r="D216">
        <v>484.1300048828125</v>
      </c>
      <c r="E216">
        <v>484.48001098632813</v>
      </c>
      <c r="F216">
        <v>484.48001098632813</v>
      </c>
      <c r="G216">
        <v>6611800</v>
      </c>
      <c r="I216" s="5">
        <f t="shared" si="12"/>
        <v>-8.2837886074511036E-3</v>
      </c>
      <c r="K216" s="5">
        <f t="shared" si="13"/>
        <v>214</v>
      </c>
      <c r="L216" s="5">
        <v>-1.8271499004830199E-2</v>
      </c>
    </row>
    <row r="217" spans="1:12" x14ac:dyDescent="0.25">
      <c r="A217" s="1">
        <v>44042</v>
      </c>
      <c r="B217">
        <v>480.70999145507813</v>
      </c>
      <c r="C217">
        <v>488.35000610351563</v>
      </c>
      <c r="D217">
        <v>477.510009765625</v>
      </c>
      <c r="E217">
        <v>485.79998779296875</v>
      </c>
      <c r="F217">
        <v>485.79998779296875</v>
      </c>
      <c r="G217">
        <v>6608600</v>
      </c>
      <c r="I217" s="5">
        <f t="shared" si="12"/>
        <v>2.720817954817966E-3</v>
      </c>
      <c r="K217" s="5">
        <f t="shared" si="13"/>
        <v>215</v>
      </c>
      <c r="L217" s="5">
        <v>-1.8237122994623819E-2</v>
      </c>
    </row>
    <row r="218" spans="1:12" x14ac:dyDescent="0.25">
      <c r="A218" s="1">
        <v>44043</v>
      </c>
      <c r="B218">
        <v>488.29000854492188</v>
      </c>
      <c r="C218">
        <v>494.79998779296875</v>
      </c>
      <c r="D218">
        <v>484.5</v>
      </c>
      <c r="E218">
        <v>488.8800048828125</v>
      </c>
      <c r="F218">
        <v>488.8800048828125</v>
      </c>
      <c r="G218">
        <v>5916300</v>
      </c>
      <c r="I218" s="5">
        <f t="shared" si="12"/>
        <v>6.3200791340297562E-3</v>
      </c>
      <c r="K218" s="5">
        <f t="shared" si="13"/>
        <v>216</v>
      </c>
      <c r="L218" s="5">
        <v>-1.8201806509236269E-2</v>
      </c>
    </row>
    <row r="219" spans="1:12" x14ac:dyDescent="0.25">
      <c r="A219" s="1">
        <v>44046</v>
      </c>
      <c r="B219">
        <v>490.8599853515625</v>
      </c>
      <c r="C219">
        <v>503.08999633789063</v>
      </c>
      <c r="D219">
        <v>490.23001098632813</v>
      </c>
      <c r="E219">
        <v>498.6199951171875</v>
      </c>
      <c r="F219">
        <v>498.6199951171875</v>
      </c>
      <c r="G219">
        <v>5873100</v>
      </c>
      <c r="I219" s="5">
        <f t="shared" si="12"/>
        <v>1.9727202232395272E-2</v>
      </c>
      <c r="K219" s="5">
        <f t="shared" si="13"/>
        <v>217</v>
      </c>
      <c r="L219" s="5">
        <v>-1.8200129137222215E-2</v>
      </c>
    </row>
    <row r="220" spans="1:12" x14ac:dyDescent="0.25">
      <c r="A220" s="1">
        <v>44047</v>
      </c>
      <c r="B220">
        <v>498.64999389648438</v>
      </c>
      <c r="C220">
        <v>510.44000244140625</v>
      </c>
      <c r="D220">
        <v>498.64999389648438</v>
      </c>
      <c r="E220">
        <v>509.6400146484375</v>
      </c>
      <c r="F220">
        <v>509.6400146484375</v>
      </c>
      <c r="G220">
        <v>5608000</v>
      </c>
      <c r="I220" s="5">
        <f t="shared" si="12"/>
        <v>2.1860350049087287E-2</v>
      </c>
      <c r="K220" s="5">
        <f t="shared" si="13"/>
        <v>218</v>
      </c>
      <c r="L220" s="5">
        <v>-1.8181751794560948E-2</v>
      </c>
    </row>
    <row r="221" spans="1:12" x14ac:dyDescent="0.25">
      <c r="A221" s="1">
        <v>44048</v>
      </c>
      <c r="B221">
        <v>508.67999267578125</v>
      </c>
      <c r="C221">
        <v>510.10000610351563</v>
      </c>
      <c r="D221">
        <v>501.20001220703125</v>
      </c>
      <c r="E221">
        <v>502.1099853515625</v>
      </c>
      <c r="F221">
        <v>502.1099853515625</v>
      </c>
      <c r="G221">
        <v>4308200</v>
      </c>
      <c r="I221" s="5">
        <f t="shared" si="12"/>
        <v>-1.4885432836000918E-2</v>
      </c>
      <c r="K221" s="5">
        <f t="shared" si="13"/>
        <v>219</v>
      </c>
      <c r="L221" s="5">
        <v>-1.8103121011955981E-2</v>
      </c>
    </row>
    <row r="222" spans="1:12" x14ac:dyDescent="0.25">
      <c r="A222" s="1">
        <v>44049</v>
      </c>
      <c r="B222">
        <v>504.1099853515625</v>
      </c>
      <c r="C222">
        <v>510.82000732421875</v>
      </c>
      <c r="D222">
        <v>498.70001220703125</v>
      </c>
      <c r="E222">
        <v>509.07998657226563</v>
      </c>
      <c r="F222">
        <v>509.07998657226563</v>
      </c>
      <c r="G222">
        <v>3725900</v>
      </c>
      <c r="I222" s="5">
        <f t="shared" si="12"/>
        <v>1.3785958727479746E-2</v>
      </c>
      <c r="K222" s="5">
        <f t="shared" si="13"/>
        <v>220</v>
      </c>
      <c r="L222" s="5">
        <v>-1.7973773098843619E-2</v>
      </c>
    </row>
    <row r="223" spans="1:12" x14ac:dyDescent="0.25">
      <c r="A223" s="1">
        <v>44050</v>
      </c>
      <c r="B223">
        <v>505.45001220703125</v>
      </c>
      <c r="C223">
        <v>508.29000854492188</v>
      </c>
      <c r="D223">
        <v>486.67999267578125</v>
      </c>
      <c r="E223">
        <v>494.73001098632813</v>
      </c>
      <c r="F223">
        <v>494.73001098632813</v>
      </c>
      <c r="G223">
        <v>5910300</v>
      </c>
      <c r="I223" s="5">
        <f t="shared" si="12"/>
        <v>-2.8592967331870802E-2</v>
      </c>
      <c r="K223" s="5">
        <f t="shared" si="13"/>
        <v>221</v>
      </c>
      <c r="L223" s="5">
        <v>-1.7766686020511867E-2</v>
      </c>
    </row>
    <row r="224" spans="1:12" x14ac:dyDescent="0.25">
      <c r="A224" s="1">
        <v>44053</v>
      </c>
      <c r="B224">
        <v>493.35000610351563</v>
      </c>
      <c r="C224">
        <v>497.45999145507813</v>
      </c>
      <c r="D224">
        <v>478.6300048828125</v>
      </c>
      <c r="E224">
        <v>483.3800048828125</v>
      </c>
      <c r="F224">
        <v>483.3800048828125</v>
      </c>
      <c r="G224">
        <v>4691200</v>
      </c>
      <c r="I224" s="5">
        <f t="shared" si="12"/>
        <v>-2.3209077504277167E-2</v>
      </c>
      <c r="K224" s="5">
        <f t="shared" si="13"/>
        <v>222</v>
      </c>
      <c r="L224" s="5">
        <v>-1.77570427730795E-2</v>
      </c>
    </row>
    <row r="225" spans="1:12" x14ac:dyDescent="0.25">
      <c r="A225" s="1">
        <v>44054</v>
      </c>
      <c r="B225">
        <v>479.75</v>
      </c>
      <c r="C225">
        <v>480.92001342773438</v>
      </c>
      <c r="D225">
        <v>466.54998779296875</v>
      </c>
      <c r="E225">
        <v>466.92999267578125</v>
      </c>
      <c r="F225">
        <v>466.92999267578125</v>
      </c>
      <c r="G225">
        <v>7329200</v>
      </c>
      <c r="I225" s="5">
        <f t="shared" si="12"/>
        <v>-3.4623766096919223E-2</v>
      </c>
      <c r="K225" s="5">
        <f t="shared" si="13"/>
        <v>223</v>
      </c>
      <c r="L225" s="5">
        <v>-1.7732019616774619E-2</v>
      </c>
    </row>
    <row r="226" spans="1:12" x14ac:dyDescent="0.25">
      <c r="A226" s="1">
        <v>44055</v>
      </c>
      <c r="B226">
        <v>471.33999633789063</v>
      </c>
      <c r="C226">
        <v>482.489990234375</v>
      </c>
      <c r="D226">
        <v>470.17999267578125</v>
      </c>
      <c r="E226">
        <v>475.47000122070313</v>
      </c>
      <c r="F226">
        <v>475.47000122070313</v>
      </c>
      <c r="G226">
        <v>5439200</v>
      </c>
      <c r="I226" s="5">
        <f t="shared" si="12"/>
        <v>1.8124453265498209E-2</v>
      </c>
      <c r="K226" s="5">
        <f t="shared" si="13"/>
        <v>224</v>
      </c>
      <c r="L226" s="5">
        <v>-1.7719650733139851E-2</v>
      </c>
    </row>
    <row r="227" spans="1:12" x14ac:dyDescent="0.25">
      <c r="A227" s="1">
        <v>44056</v>
      </c>
      <c r="B227">
        <v>478.39999389648438</v>
      </c>
      <c r="C227">
        <v>484.45001220703125</v>
      </c>
      <c r="D227">
        <v>476.45001220703125</v>
      </c>
      <c r="E227">
        <v>481.32998657226563</v>
      </c>
      <c r="F227">
        <v>481.32998657226563</v>
      </c>
      <c r="G227">
        <v>3008900</v>
      </c>
      <c r="I227" s="5">
        <f t="shared" si="12"/>
        <v>1.224928657597271E-2</v>
      </c>
      <c r="K227" s="5">
        <f t="shared" si="13"/>
        <v>225</v>
      </c>
      <c r="L227" s="5">
        <v>-1.7653207480731292E-2</v>
      </c>
    </row>
    <row r="228" spans="1:12" x14ac:dyDescent="0.25">
      <c r="A228" s="1">
        <v>44057</v>
      </c>
      <c r="B228">
        <v>482.82000732421875</v>
      </c>
      <c r="C228">
        <v>488.32998657226563</v>
      </c>
      <c r="D228">
        <v>480.20999145507813</v>
      </c>
      <c r="E228">
        <v>482.67999267578125</v>
      </c>
      <c r="F228">
        <v>482.67999267578125</v>
      </c>
      <c r="G228">
        <v>2943500</v>
      </c>
      <c r="I228" s="5">
        <f t="shared" si="12"/>
        <v>2.8008153755551672E-3</v>
      </c>
      <c r="K228" s="5">
        <f t="shared" si="13"/>
        <v>226</v>
      </c>
      <c r="L228" s="5">
        <v>-1.7609787150832376E-2</v>
      </c>
    </row>
    <row r="229" spans="1:12" x14ac:dyDescent="0.25">
      <c r="A229" s="1">
        <v>44060</v>
      </c>
      <c r="B229">
        <v>484.19000244140625</v>
      </c>
      <c r="C229">
        <v>486.239990234375</v>
      </c>
      <c r="D229">
        <v>479.10000610351563</v>
      </c>
      <c r="E229">
        <v>482.35000610351563</v>
      </c>
      <c r="F229">
        <v>482.35000610351563</v>
      </c>
      <c r="G229">
        <v>2423500</v>
      </c>
      <c r="I229" s="5">
        <f t="shared" si="12"/>
        <v>-6.8388876106312518E-4</v>
      </c>
      <c r="K229" s="5">
        <f t="shared" si="13"/>
        <v>227</v>
      </c>
      <c r="L229" s="5">
        <v>-1.7606781208207928E-2</v>
      </c>
    </row>
    <row r="230" spans="1:12" x14ac:dyDescent="0.25">
      <c r="A230" s="1">
        <v>44061</v>
      </c>
      <c r="B230">
        <v>484.35000610351563</v>
      </c>
      <c r="C230">
        <v>495.29998779296875</v>
      </c>
      <c r="D230">
        <v>482.79998779296875</v>
      </c>
      <c r="E230">
        <v>491.8699951171875</v>
      </c>
      <c r="F230">
        <v>491.8699951171875</v>
      </c>
      <c r="G230">
        <v>3505500</v>
      </c>
      <c r="I230" s="5">
        <f t="shared" si="12"/>
        <v>1.9544439738449593E-2</v>
      </c>
      <c r="K230" s="5">
        <f t="shared" si="13"/>
        <v>228</v>
      </c>
      <c r="L230" s="5">
        <v>-1.75165135912397E-2</v>
      </c>
    </row>
    <row r="231" spans="1:12" x14ac:dyDescent="0.25">
      <c r="A231" s="1">
        <v>44062</v>
      </c>
      <c r="B231">
        <v>493.92999267578125</v>
      </c>
      <c r="C231">
        <v>494.5</v>
      </c>
      <c r="D231">
        <v>483.5</v>
      </c>
      <c r="E231">
        <v>484.52999877929688</v>
      </c>
      <c r="F231">
        <v>484.52999877929688</v>
      </c>
      <c r="G231">
        <v>3156200</v>
      </c>
      <c r="I231" s="5">
        <f t="shared" si="12"/>
        <v>-1.5035097609542823E-2</v>
      </c>
      <c r="K231" s="5">
        <f t="shared" si="13"/>
        <v>229</v>
      </c>
      <c r="L231" s="5">
        <v>-1.7464864690821171E-2</v>
      </c>
    </row>
    <row r="232" spans="1:12" x14ac:dyDescent="0.25">
      <c r="A232" s="1">
        <v>44063</v>
      </c>
      <c r="B232">
        <v>484.69000244140625</v>
      </c>
      <c r="C232">
        <v>498.94000244140625</v>
      </c>
      <c r="D232">
        <v>483.8900146484375</v>
      </c>
      <c r="E232">
        <v>497.89999389648438</v>
      </c>
      <c r="F232">
        <v>497.89999389648438</v>
      </c>
      <c r="G232">
        <v>5132500</v>
      </c>
      <c r="I232" s="5">
        <f t="shared" si="12"/>
        <v>2.7219894990443607E-2</v>
      </c>
      <c r="K232" s="5">
        <f t="shared" si="13"/>
        <v>230</v>
      </c>
      <c r="L232" s="5">
        <v>-1.7450461069826142E-2</v>
      </c>
    </row>
    <row r="233" spans="1:12" x14ac:dyDescent="0.25">
      <c r="A233" s="1">
        <v>44064</v>
      </c>
      <c r="B233">
        <v>496.45999145507813</v>
      </c>
      <c r="C233">
        <v>498.1300048828125</v>
      </c>
      <c r="D233">
        <v>490</v>
      </c>
      <c r="E233">
        <v>492.30999755859375</v>
      </c>
      <c r="F233">
        <v>492.30999755859375</v>
      </c>
      <c r="G233">
        <v>3921300</v>
      </c>
      <c r="I233" s="5">
        <f t="shared" si="12"/>
        <v>-1.1290646973462926E-2</v>
      </c>
      <c r="K233" s="5">
        <f t="shared" si="13"/>
        <v>231</v>
      </c>
      <c r="L233" s="5">
        <v>-1.737504981561375E-2</v>
      </c>
    </row>
    <row r="234" spans="1:12" x14ac:dyDescent="0.25">
      <c r="A234" s="1">
        <v>44067</v>
      </c>
      <c r="B234">
        <v>495.44000244140625</v>
      </c>
      <c r="C234">
        <v>501</v>
      </c>
      <c r="D234">
        <v>483.16000366210938</v>
      </c>
      <c r="E234">
        <v>488.80999755859375</v>
      </c>
      <c r="F234">
        <v>488.80999755859375</v>
      </c>
      <c r="G234">
        <v>4762200</v>
      </c>
      <c r="I234" s="5">
        <f t="shared" si="12"/>
        <v>-7.1347334974912148E-3</v>
      </c>
      <c r="K234" s="5">
        <f t="shared" si="13"/>
        <v>232</v>
      </c>
      <c r="L234" s="5">
        <v>-1.7231568437056827E-2</v>
      </c>
    </row>
    <row r="235" spans="1:12" x14ac:dyDescent="0.25">
      <c r="A235" s="1">
        <v>44068</v>
      </c>
      <c r="B235">
        <v>488.19000244140625</v>
      </c>
      <c r="C235">
        <v>492.47000122070313</v>
      </c>
      <c r="D235">
        <v>485.08999633789063</v>
      </c>
      <c r="E235">
        <v>490.57998657226563</v>
      </c>
      <c r="F235">
        <v>490.57998657226563</v>
      </c>
      <c r="G235">
        <v>5727700</v>
      </c>
      <c r="I235" s="5">
        <f t="shared" si="12"/>
        <v>3.6144762951296895E-3</v>
      </c>
      <c r="K235" s="5">
        <f t="shared" si="13"/>
        <v>233</v>
      </c>
      <c r="L235" s="5">
        <v>-1.7223227027450046E-2</v>
      </c>
    </row>
    <row r="236" spans="1:12" x14ac:dyDescent="0.25">
      <c r="A236" s="1">
        <v>44069</v>
      </c>
      <c r="B236">
        <v>492.5</v>
      </c>
      <c r="C236">
        <v>549.03997802734375</v>
      </c>
      <c r="D236">
        <v>492.07998657226563</v>
      </c>
      <c r="E236">
        <v>547.530029296875</v>
      </c>
      <c r="F236">
        <v>547.530029296875</v>
      </c>
      <c r="G236">
        <v>20373700</v>
      </c>
      <c r="I236" s="5">
        <f t="shared" si="12"/>
        <v>0.10982897100358414</v>
      </c>
      <c r="K236" s="5">
        <f t="shared" si="13"/>
        <v>234</v>
      </c>
      <c r="L236" s="5">
        <v>-1.7001760637931622E-2</v>
      </c>
    </row>
    <row r="237" spans="1:12" x14ac:dyDescent="0.25">
      <c r="A237" s="1">
        <v>44070</v>
      </c>
      <c r="B237">
        <v>537.780029296875</v>
      </c>
      <c r="C237">
        <v>541</v>
      </c>
      <c r="D237">
        <v>521.25</v>
      </c>
      <c r="E237">
        <v>526.27001953125</v>
      </c>
      <c r="F237">
        <v>526.27001953125</v>
      </c>
      <c r="G237">
        <v>9062900</v>
      </c>
      <c r="I237" s="5">
        <f t="shared" si="12"/>
        <v>-3.960288207975364E-2</v>
      </c>
      <c r="K237" s="5">
        <f t="shared" si="13"/>
        <v>235</v>
      </c>
      <c r="L237" s="5">
        <v>-1.6975115910925365E-2</v>
      </c>
    </row>
    <row r="238" spans="1:12" x14ac:dyDescent="0.25">
      <c r="A238" s="1">
        <v>44071</v>
      </c>
      <c r="B238">
        <v>532</v>
      </c>
      <c r="C238">
        <v>539</v>
      </c>
      <c r="D238">
        <v>522</v>
      </c>
      <c r="E238">
        <v>523.8900146484375</v>
      </c>
      <c r="F238">
        <v>523.8900146484375</v>
      </c>
      <c r="G238">
        <v>4417500</v>
      </c>
      <c r="I238" s="5">
        <f t="shared" si="12"/>
        <v>-4.5326595568597307E-3</v>
      </c>
      <c r="K238" s="5">
        <f t="shared" si="13"/>
        <v>236</v>
      </c>
      <c r="L238" s="5">
        <v>-1.6797302616186064E-2</v>
      </c>
    </row>
    <row r="239" spans="1:12" x14ac:dyDescent="0.25">
      <c r="A239" s="1">
        <v>44074</v>
      </c>
      <c r="B239">
        <v>521.15997314453125</v>
      </c>
      <c r="C239">
        <v>531.989990234375</v>
      </c>
      <c r="D239">
        <v>517.58001708984375</v>
      </c>
      <c r="E239">
        <v>529.55999755859375</v>
      </c>
      <c r="F239">
        <v>529.55999755859375</v>
      </c>
      <c r="G239">
        <v>4941400</v>
      </c>
      <c r="I239" s="5">
        <f t="shared" si="12"/>
        <v>1.0764701878435786E-2</v>
      </c>
      <c r="K239" s="5">
        <f t="shared" si="13"/>
        <v>237</v>
      </c>
      <c r="L239" s="5">
        <v>-1.6629991969011926E-2</v>
      </c>
    </row>
    <row r="240" spans="1:12" x14ac:dyDescent="0.25">
      <c r="A240" s="1">
        <v>44075</v>
      </c>
      <c r="B240">
        <v>532.5999755859375</v>
      </c>
      <c r="C240">
        <v>557.3900146484375</v>
      </c>
      <c r="D240">
        <v>532.45001220703125</v>
      </c>
      <c r="E240">
        <v>556.54998779296875</v>
      </c>
      <c r="F240">
        <v>556.54998779296875</v>
      </c>
      <c r="G240">
        <v>9572700</v>
      </c>
      <c r="I240" s="5">
        <f t="shared" si="12"/>
        <v>4.9710523546637242E-2</v>
      </c>
      <c r="K240" s="5">
        <f t="shared" si="13"/>
        <v>238</v>
      </c>
      <c r="L240" s="5">
        <v>-1.6491211198912975E-2</v>
      </c>
    </row>
    <row r="241" spans="1:12" x14ac:dyDescent="0.25">
      <c r="A241" s="1">
        <v>44076</v>
      </c>
      <c r="B241">
        <v>553.780029296875</v>
      </c>
      <c r="C241">
        <v>556.5</v>
      </c>
      <c r="D241">
        <v>537.3699951171875</v>
      </c>
      <c r="E241">
        <v>552.84002685546875</v>
      </c>
      <c r="F241">
        <v>552.84002685546875</v>
      </c>
      <c r="G241">
        <v>5886900</v>
      </c>
      <c r="I241" s="5">
        <f t="shared" si="12"/>
        <v>-6.6883146927247897E-3</v>
      </c>
      <c r="K241" s="5">
        <f t="shared" si="13"/>
        <v>239</v>
      </c>
      <c r="L241" s="5">
        <v>-1.6430623162457299E-2</v>
      </c>
    </row>
    <row r="242" spans="1:12" x14ac:dyDescent="0.25">
      <c r="A242" s="1">
        <v>44077</v>
      </c>
      <c r="B242">
        <v>545</v>
      </c>
      <c r="C242">
        <v>554</v>
      </c>
      <c r="D242">
        <v>521.32000732421875</v>
      </c>
      <c r="E242">
        <v>525.75</v>
      </c>
      <c r="F242">
        <v>525.75</v>
      </c>
      <c r="G242">
        <v>9071100</v>
      </c>
      <c r="I242" s="5">
        <f t="shared" si="12"/>
        <v>-5.0242862730305086E-2</v>
      </c>
      <c r="K242" s="5">
        <f t="shared" si="13"/>
        <v>240</v>
      </c>
      <c r="L242" s="5">
        <v>-1.6380727506095753E-2</v>
      </c>
    </row>
    <row r="243" spans="1:12" x14ac:dyDescent="0.25">
      <c r="A243" s="1">
        <v>44078</v>
      </c>
      <c r="B243">
        <v>520.17999267578125</v>
      </c>
      <c r="C243">
        <v>527.3599853515625</v>
      </c>
      <c r="D243">
        <v>485.98001098632813</v>
      </c>
      <c r="E243">
        <v>516.04998779296875</v>
      </c>
      <c r="F243">
        <v>516.04998779296875</v>
      </c>
      <c r="G243">
        <v>8270100</v>
      </c>
      <c r="I243" s="5">
        <f t="shared" si="12"/>
        <v>-1.8622178225612355E-2</v>
      </c>
      <c r="K243" s="5">
        <f t="shared" si="13"/>
        <v>241</v>
      </c>
      <c r="L243" s="5">
        <v>-1.6303412692594561E-2</v>
      </c>
    </row>
    <row r="244" spans="1:12" x14ac:dyDescent="0.25">
      <c r="A244" s="1">
        <v>44082</v>
      </c>
      <c r="B244">
        <v>498.39999389648438</v>
      </c>
      <c r="C244">
        <v>522</v>
      </c>
      <c r="D244">
        <v>495</v>
      </c>
      <c r="E244">
        <v>507.01998901367188</v>
      </c>
      <c r="F244">
        <v>507.01998901367188</v>
      </c>
      <c r="G244">
        <v>5572700</v>
      </c>
      <c r="I244" s="5">
        <f t="shared" si="12"/>
        <v>-1.7653207480731292E-2</v>
      </c>
      <c r="K244" s="5">
        <f t="shared" si="13"/>
        <v>242</v>
      </c>
      <c r="L244" s="5">
        <v>-1.6208718864790226E-2</v>
      </c>
    </row>
    <row r="245" spans="1:12" x14ac:dyDescent="0.25">
      <c r="A245" s="1">
        <v>44083</v>
      </c>
      <c r="B245">
        <v>519.21002197265625</v>
      </c>
      <c r="C245">
        <v>520</v>
      </c>
      <c r="D245">
        <v>492.57000732421875</v>
      </c>
      <c r="E245">
        <v>500.19000244140625</v>
      </c>
      <c r="F245">
        <v>500.19000244140625</v>
      </c>
      <c r="G245">
        <v>6848100</v>
      </c>
      <c r="I245" s="5">
        <f t="shared" si="12"/>
        <v>-1.356239775503066E-2</v>
      </c>
      <c r="K245" s="5">
        <f t="shared" si="13"/>
        <v>243</v>
      </c>
      <c r="L245" s="5">
        <v>-1.6163938452185538E-2</v>
      </c>
    </row>
    <row r="246" spans="1:12" x14ac:dyDescent="0.25">
      <c r="A246" s="1">
        <v>44084</v>
      </c>
      <c r="B246">
        <v>503.35000610351563</v>
      </c>
      <c r="C246">
        <v>506.29000854492188</v>
      </c>
      <c r="D246">
        <v>478.83999633789063</v>
      </c>
      <c r="E246">
        <v>480.67001342773438</v>
      </c>
      <c r="F246">
        <v>480.67001342773438</v>
      </c>
      <c r="G246">
        <v>6240200</v>
      </c>
      <c r="I246" s="5">
        <f t="shared" si="12"/>
        <v>-3.9807039220482864E-2</v>
      </c>
      <c r="K246" s="5">
        <f t="shared" si="13"/>
        <v>244</v>
      </c>
      <c r="L246" s="5">
        <v>-1.6163312977926021E-2</v>
      </c>
    </row>
    <row r="247" spans="1:12" x14ac:dyDescent="0.25">
      <c r="A247" s="1">
        <v>44085</v>
      </c>
      <c r="B247">
        <v>486.489990234375</v>
      </c>
      <c r="C247">
        <v>493.73001098632813</v>
      </c>
      <c r="D247">
        <v>476.80999755859375</v>
      </c>
      <c r="E247">
        <v>482.02999877929688</v>
      </c>
      <c r="F247">
        <v>482.02999877929688</v>
      </c>
      <c r="G247">
        <v>5035200</v>
      </c>
      <c r="I247" s="5">
        <f t="shared" si="12"/>
        <v>2.8253583442573575E-3</v>
      </c>
      <c r="K247" s="5">
        <f t="shared" si="13"/>
        <v>245</v>
      </c>
      <c r="L247" s="5">
        <v>-1.6154468375651571E-2</v>
      </c>
    </row>
    <row r="248" spans="1:12" x14ac:dyDescent="0.25">
      <c r="A248" s="1">
        <v>44088</v>
      </c>
      <c r="B248">
        <v>480.6199951171875</v>
      </c>
      <c r="C248">
        <v>488.989990234375</v>
      </c>
      <c r="D248">
        <v>471.29998779296875</v>
      </c>
      <c r="E248">
        <v>476.260009765625</v>
      </c>
      <c r="F248">
        <v>476.260009765625</v>
      </c>
      <c r="G248">
        <v>7359100</v>
      </c>
      <c r="I248" s="5">
        <f t="shared" si="12"/>
        <v>-1.2042406144593893E-2</v>
      </c>
      <c r="K248" s="5">
        <f t="shared" si="13"/>
        <v>246</v>
      </c>
      <c r="L248" s="5">
        <v>-1.6112672128710568E-2</v>
      </c>
    </row>
    <row r="249" spans="1:12" x14ac:dyDescent="0.25">
      <c r="A249" s="1">
        <v>44089</v>
      </c>
      <c r="B249">
        <v>484</v>
      </c>
      <c r="C249">
        <v>497.47000122070313</v>
      </c>
      <c r="D249">
        <v>481.6300048828125</v>
      </c>
      <c r="E249">
        <v>495.989990234375</v>
      </c>
      <c r="F249">
        <v>495.989990234375</v>
      </c>
      <c r="G249">
        <v>5337000</v>
      </c>
      <c r="I249" s="5">
        <f t="shared" si="12"/>
        <v>4.059180144159058E-2</v>
      </c>
      <c r="K249" s="5">
        <f t="shared" si="13"/>
        <v>247</v>
      </c>
      <c r="L249" s="5">
        <v>-1.6112224970043092E-2</v>
      </c>
    </row>
    <row r="250" spans="1:12" x14ac:dyDescent="0.25">
      <c r="A250" s="1">
        <v>44090</v>
      </c>
      <c r="B250">
        <v>499.989990234375</v>
      </c>
      <c r="C250">
        <v>504.66000366210938</v>
      </c>
      <c r="D250">
        <v>483.30999755859375</v>
      </c>
      <c r="E250">
        <v>483.8599853515625</v>
      </c>
      <c r="F250">
        <v>483.8599853515625</v>
      </c>
      <c r="G250">
        <v>4394900</v>
      </c>
      <c r="I250" s="5">
        <f t="shared" si="12"/>
        <v>-2.4760167140688877E-2</v>
      </c>
      <c r="K250" s="5">
        <f t="shared" si="13"/>
        <v>248</v>
      </c>
      <c r="L250" s="5">
        <v>-1.6100322651237436E-2</v>
      </c>
    </row>
    <row r="251" spans="1:12" x14ac:dyDescent="0.25">
      <c r="A251" s="1">
        <v>44091</v>
      </c>
      <c r="B251">
        <v>475.16000366210938</v>
      </c>
      <c r="C251">
        <v>478.39999389648438</v>
      </c>
      <c r="D251">
        <v>463.26998901367188</v>
      </c>
      <c r="E251">
        <v>470.20001220703125</v>
      </c>
      <c r="F251">
        <v>470.20001220703125</v>
      </c>
      <c r="G251">
        <v>5379300</v>
      </c>
      <c r="I251" s="5">
        <f t="shared" si="12"/>
        <v>-2.8637416334188974E-2</v>
      </c>
      <c r="K251" s="5">
        <f t="shared" si="13"/>
        <v>249</v>
      </c>
      <c r="L251" s="5">
        <v>-1.6017041517718277E-2</v>
      </c>
    </row>
    <row r="252" spans="1:12" x14ac:dyDescent="0.25">
      <c r="A252" s="1">
        <v>44092</v>
      </c>
      <c r="B252">
        <v>472.510009765625</v>
      </c>
      <c r="C252">
        <v>479.39999389648438</v>
      </c>
      <c r="D252">
        <v>458.60000610351563</v>
      </c>
      <c r="E252">
        <v>469.95999145507813</v>
      </c>
      <c r="F252">
        <v>469.95999145507813</v>
      </c>
      <c r="G252">
        <v>6717700</v>
      </c>
      <c r="I252" s="5">
        <f t="shared" si="12"/>
        <v>-5.1059555018893301E-4</v>
      </c>
      <c r="K252" s="5">
        <f t="shared" si="13"/>
        <v>250</v>
      </c>
      <c r="L252" s="5">
        <v>-1.6012894843267855E-2</v>
      </c>
    </row>
    <row r="253" spans="1:12" x14ac:dyDescent="0.25">
      <c r="A253" s="1">
        <v>44095</v>
      </c>
      <c r="B253">
        <v>467.69000244140625</v>
      </c>
      <c r="C253">
        <v>487.77999877929688</v>
      </c>
      <c r="D253">
        <v>466.32000732421875</v>
      </c>
      <c r="E253">
        <v>487.35000610351563</v>
      </c>
      <c r="F253">
        <v>487.35000610351563</v>
      </c>
      <c r="G253">
        <v>5457500</v>
      </c>
      <c r="I253" s="5">
        <f t="shared" si="12"/>
        <v>3.6334996789965018E-2</v>
      </c>
      <c r="K253" s="5">
        <f t="shared" si="13"/>
        <v>251</v>
      </c>
      <c r="L253" s="5">
        <v>-1.5959824341035253E-2</v>
      </c>
    </row>
    <row r="254" spans="1:12" x14ac:dyDescent="0.25">
      <c r="A254" s="1">
        <v>44096</v>
      </c>
      <c r="B254">
        <v>489.010009765625</v>
      </c>
      <c r="C254">
        <v>491.82000732421875</v>
      </c>
      <c r="D254">
        <v>479.260009765625</v>
      </c>
      <c r="E254">
        <v>491.17001342773438</v>
      </c>
      <c r="F254">
        <v>491.17001342773438</v>
      </c>
      <c r="G254">
        <v>3482300</v>
      </c>
      <c r="I254" s="5">
        <f t="shared" si="12"/>
        <v>7.8077640803747086E-3</v>
      </c>
      <c r="K254" s="5">
        <f t="shared" si="13"/>
        <v>252</v>
      </c>
      <c r="L254" s="5">
        <v>-1.5944372344083437E-2</v>
      </c>
    </row>
    <row r="255" spans="1:12" x14ac:dyDescent="0.25">
      <c r="A255" s="1">
        <v>44097</v>
      </c>
      <c r="B255">
        <v>491.04000854492188</v>
      </c>
      <c r="C255">
        <v>491.04000854492188</v>
      </c>
      <c r="D255">
        <v>469</v>
      </c>
      <c r="E255">
        <v>470.6099853515625</v>
      </c>
      <c r="F255">
        <v>470.6099853515625</v>
      </c>
      <c r="G255">
        <v>3726400</v>
      </c>
      <c r="I255" s="5">
        <f t="shared" si="12"/>
        <v>-4.2760632977711238E-2</v>
      </c>
      <c r="K255" s="5">
        <f t="shared" si="13"/>
        <v>253</v>
      </c>
      <c r="L255" s="5">
        <v>-1.5916886162742925E-2</v>
      </c>
    </row>
    <row r="256" spans="1:12" x14ac:dyDescent="0.25">
      <c r="A256" s="1">
        <v>44098</v>
      </c>
      <c r="B256">
        <v>470.52999877929688</v>
      </c>
      <c r="C256">
        <v>477</v>
      </c>
      <c r="D256">
        <v>467.82000732421875</v>
      </c>
      <c r="E256">
        <v>473.07998657226563</v>
      </c>
      <c r="F256">
        <v>473.07998657226563</v>
      </c>
      <c r="G256">
        <v>3727200</v>
      </c>
      <c r="I256" s="5">
        <f t="shared" si="12"/>
        <v>5.2347845895036153E-3</v>
      </c>
      <c r="K256" s="5">
        <f t="shared" si="13"/>
        <v>254</v>
      </c>
      <c r="L256" s="5">
        <v>-1.590590574064046E-2</v>
      </c>
    </row>
    <row r="257" spans="1:12" x14ac:dyDescent="0.25">
      <c r="A257" s="1">
        <v>44099</v>
      </c>
      <c r="B257">
        <v>474.3900146484375</v>
      </c>
      <c r="C257">
        <v>484.8699951171875</v>
      </c>
      <c r="D257">
        <v>468.02999877929688</v>
      </c>
      <c r="E257">
        <v>482.8800048828125</v>
      </c>
      <c r="F257">
        <v>482.8800048828125</v>
      </c>
      <c r="G257">
        <v>3769400</v>
      </c>
      <c r="I257" s="5">
        <f t="shared" si="12"/>
        <v>2.0503706692067337E-2</v>
      </c>
      <c r="K257" s="5">
        <f t="shared" si="13"/>
        <v>255</v>
      </c>
      <c r="L257" s="5">
        <v>-1.5891295002620445E-2</v>
      </c>
    </row>
    <row r="258" spans="1:12" x14ac:dyDescent="0.25">
      <c r="A258" s="1">
        <v>44102</v>
      </c>
      <c r="B258">
        <v>489.1099853515625</v>
      </c>
      <c r="C258">
        <v>492</v>
      </c>
      <c r="D258">
        <v>477.8800048828125</v>
      </c>
      <c r="E258">
        <v>490.64999389648438</v>
      </c>
      <c r="F258">
        <v>490.64999389648438</v>
      </c>
      <c r="G258">
        <v>4773500</v>
      </c>
      <c r="I258" s="5">
        <f t="shared" si="12"/>
        <v>1.5962844521510759E-2</v>
      </c>
      <c r="K258" s="5">
        <f t="shared" si="13"/>
        <v>256</v>
      </c>
      <c r="L258" s="5">
        <v>-1.5875609025575995E-2</v>
      </c>
    </row>
    <row r="259" spans="1:12" x14ac:dyDescent="0.25">
      <c r="A259" s="1">
        <v>44103</v>
      </c>
      <c r="B259">
        <v>489.5</v>
      </c>
      <c r="C259">
        <v>496.29000854492188</v>
      </c>
      <c r="D259">
        <v>486.52999877929688</v>
      </c>
      <c r="E259">
        <v>493.48001098632813</v>
      </c>
      <c r="F259">
        <v>493.48001098632813</v>
      </c>
      <c r="G259">
        <v>3541500</v>
      </c>
      <c r="I259" s="5">
        <f t="shared" si="12"/>
        <v>5.751323253379105E-3</v>
      </c>
      <c r="K259" s="5">
        <f t="shared" si="13"/>
        <v>257</v>
      </c>
      <c r="L259" s="5">
        <v>-1.5708125743930199E-2</v>
      </c>
    </row>
    <row r="260" spans="1:12" x14ac:dyDescent="0.25">
      <c r="A260" s="1">
        <v>44104</v>
      </c>
      <c r="B260">
        <v>492.57000732421875</v>
      </c>
      <c r="C260">
        <v>504.6300048828125</v>
      </c>
      <c r="D260">
        <v>489.26998901367188</v>
      </c>
      <c r="E260">
        <v>500.02999877929688</v>
      </c>
      <c r="F260">
        <v>500.02999877929688</v>
      </c>
      <c r="G260">
        <v>4634100</v>
      </c>
      <c r="I260" s="5">
        <f t="shared" ref="I260:I323" si="14">LN(F260/F259)</f>
        <v>1.3185740714775029E-2</v>
      </c>
      <c r="K260" s="5">
        <f t="shared" ref="K260:K323" si="15">_xlfn.RANK.AVG(L260,_xlfn.ANCHORARRAY($L$3),1)</f>
        <v>258</v>
      </c>
      <c r="L260" s="5">
        <v>-1.5614337117131059E-2</v>
      </c>
    </row>
    <row r="261" spans="1:12" x14ac:dyDescent="0.25">
      <c r="A261" s="1">
        <v>44105</v>
      </c>
      <c r="B261">
        <v>506.02999877929688</v>
      </c>
      <c r="C261">
        <v>529.54998779296875</v>
      </c>
      <c r="D261">
        <v>503.60000610351563</v>
      </c>
      <c r="E261">
        <v>527.510009765625</v>
      </c>
      <c r="F261">
        <v>527.510009765625</v>
      </c>
      <c r="G261">
        <v>8153700</v>
      </c>
      <c r="I261" s="5">
        <f t="shared" si="14"/>
        <v>5.3499746848183045E-2</v>
      </c>
      <c r="K261" s="5">
        <f t="shared" si="15"/>
        <v>259</v>
      </c>
      <c r="L261" s="5">
        <v>-1.5498764463790114E-2</v>
      </c>
    </row>
    <row r="262" spans="1:12" x14ac:dyDescent="0.25">
      <c r="A262" s="1">
        <v>44106</v>
      </c>
      <c r="B262">
        <v>516.42999267578125</v>
      </c>
      <c r="C262">
        <v>526.3699951171875</v>
      </c>
      <c r="D262">
        <v>502.70001220703125</v>
      </c>
      <c r="E262">
        <v>503.05999755859375</v>
      </c>
      <c r="F262">
        <v>503.05999755859375</v>
      </c>
      <c r="G262">
        <v>6071200</v>
      </c>
      <c r="I262" s="5">
        <f t="shared" si="14"/>
        <v>-4.7458398602130393E-2</v>
      </c>
      <c r="K262" s="5">
        <f t="shared" si="15"/>
        <v>260</v>
      </c>
      <c r="L262" s="5">
        <v>-1.5484655742927218E-2</v>
      </c>
    </row>
    <row r="263" spans="1:12" x14ac:dyDescent="0.25">
      <c r="A263" s="1">
        <v>44109</v>
      </c>
      <c r="B263">
        <v>506.79998779296875</v>
      </c>
      <c r="C263">
        <v>520.989990234375</v>
      </c>
      <c r="D263">
        <v>501.70001220703125</v>
      </c>
      <c r="E263">
        <v>520.6500244140625</v>
      </c>
      <c r="F263">
        <v>520.6500244140625</v>
      </c>
      <c r="G263">
        <v>4088100</v>
      </c>
      <c r="I263" s="5">
        <f t="shared" si="14"/>
        <v>3.4368635440352985E-2</v>
      </c>
      <c r="K263" s="5">
        <f t="shared" si="15"/>
        <v>261</v>
      </c>
      <c r="L263" s="5">
        <v>-1.5481903912049406E-2</v>
      </c>
    </row>
    <row r="264" spans="1:12" x14ac:dyDescent="0.25">
      <c r="A264" s="1">
        <v>44110</v>
      </c>
      <c r="B264">
        <v>518.719970703125</v>
      </c>
      <c r="C264">
        <v>521.82000732421875</v>
      </c>
      <c r="D264">
        <v>504.16000366210938</v>
      </c>
      <c r="E264">
        <v>505.8699951171875</v>
      </c>
      <c r="F264">
        <v>505.8699951171875</v>
      </c>
      <c r="G264">
        <v>4199000</v>
      </c>
      <c r="I264" s="5">
        <f t="shared" si="14"/>
        <v>-2.8798368237123763E-2</v>
      </c>
      <c r="K264" s="5">
        <f t="shared" si="15"/>
        <v>262</v>
      </c>
      <c r="L264" s="5">
        <v>-1.5480400039549484E-2</v>
      </c>
    </row>
    <row r="265" spans="1:12" x14ac:dyDescent="0.25">
      <c r="A265" s="1">
        <v>44111</v>
      </c>
      <c r="B265">
        <v>518</v>
      </c>
      <c r="C265">
        <v>536.489990234375</v>
      </c>
      <c r="D265">
        <v>515.82000732421875</v>
      </c>
      <c r="E265">
        <v>534.65997314453125</v>
      </c>
      <c r="F265">
        <v>534.65997314453125</v>
      </c>
      <c r="G265">
        <v>7988700</v>
      </c>
      <c r="I265" s="5">
        <f t="shared" si="14"/>
        <v>5.5351270993337205E-2</v>
      </c>
      <c r="K265" s="5">
        <f t="shared" si="15"/>
        <v>263</v>
      </c>
      <c r="L265" s="5">
        <v>-1.54226379177247E-2</v>
      </c>
    </row>
    <row r="266" spans="1:12" x14ac:dyDescent="0.25">
      <c r="A266" s="1">
        <v>44112</v>
      </c>
      <c r="B266">
        <v>533.47998046875</v>
      </c>
      <c r="C266">
        <v>535</v>
      </c>
      <c r="D266">
        <v>524.1500244140625</v>
      </c>
      <c r="E266">
        <v>531.78997802734375</v>
      </c>
      <c r="F266">
        <v>531.78997802734375</v>
      </c>
      <c r="G266">
        <v>5386500</v>
      </c>
      <c r="I266" s="5">
        <f t="shared" si="14"/>
        <v>-5.3823473714757217E-3</v>
      </c>
      <c r="K266" s="5">
        <f t="shared" si="15"/>
        <v>264</v>
      </c>
      <c r="L266" s="5">
        <v>-1.540042571486914E-2</v>
      </c>
    </row>
    <row r="267" spans="1:12" x14ac:dyDescent="0.25">
      <c r="A267" s="1">
        <v>44113</v>
      </c>
      <c r="B267">
        <v>537.83001708984375</v>
      </c>
      <c r="C267">
        <v>544.280029296875</v>
      </c>
      <c r="D267">
        <v>535</v>
      </c>
      <c r="E267">
        <v>539.44000244140625</v>
      </c>
      <c r="F267">
        <v>539.44000244140625</v>
      </c>
      <c r="G267">
        <v>4781300</v>
      </c>
      <c r="I267" s="5">
        <f t="shared" si="14"/>
        <v>1.4282935699995199E-2</v>
      </c>
      <c r="K267" s="5">
        <f t="shared" si="15"/>
        <v>265</v>
      </c>
      <c r="L267" s="5">
        <v>-1.5320857222568034E-2</v>
      </c>
    </row>
    <row r="268" spans="1:12" x14ac:dyDescent="0.25">
      <c r="A268" s="1">
        <v>44116</v>
      </c>
      <c r="B268">
        <v>548.80999755859375</v>
      </c>
      <c r="C268">
        <v>551.80999755859375</v>
      </c>
      <c r="D268">
        <v>538.239990234375</v>
      </c>
      <c r="E268">
        <v>539.80999755859375</v>
      </c>
      <c r="F268">
        <v>539.80999755859375</v>
      </c>
      <c r="G268">
        <v>5391100</v>
      </c>
      <c r="I268" s="5">
        <f t="shared" si="14"/>
        <v>6.8565231722526019E-4</v>
      </c>
      <c r="K268" s="5">
        <f t="shared" si="15"/>
        <v>266</v>
      </c>
      <c r="L268" s="5">
        <v>-1.5242236566366132E-2</v>
      </c>
    </row>
    <row r="269" spans="1:12" x14ac:dyDescent="0.25">
      <c r="A269" s="1">
        <v>44117</v>
      </c>
      <c r="B269">
        <v>540.55999755859375</v>
      </c>
      <c r="C269">
        <v>557.6500244140625</v>
      </c>
      <c r="D269">
        <v>537.20001220703125</v>
      </c>
      <c r="E269">
        <v>554.09002685546875</v>
      </c>
      <c r="F269">
        <v>554.09002685546875</v>
      </c>
      <c r="G269">
        <v>5602500</v>
      </c>
      <c r="I269" s="5">
        <f t="shared" si="14"/>
        <v>2.6109955624898463E-2</v>
      </c>
      <c r="K269" s="5">
        <f t="shared" si="15"/>
        <v>267</v>
      </c>
      <c r="L269" s="5">
        <v>-1.5219272938818702E-2</v>
      </c>
    </row>
    <row r="270" spans="1:12" x14ac:dyDescent="0.25">
      <c r="A270" s="1">
        <v>44118</v>
      </c>
      <c r="B270">
        <v>562.6099853515625</v>
      </c>
      <c r="C270">
        <v>572.489990234375</v>
      </c>
      <c r="D270">
        <v>541</v>
      </c>
      <c r="E270">
        <v>541.45001220703125</v>
      </c>
      <c r="F270">
        <v>541.45001220703125</v>
      </c>
      <c r="G270">
        <v>9499000</v>
      </c>
      <c r="I270" s="5">
        <f t="shared" si="14"/>
        <v>-2.3076428274802475E-2</v>
      </c>
      <c r="K270" s="5">
        <f t="shared" si="15"/>
        <v>268</v>
      </c>
      <c r="L270" s="5">
        <v>-1.520839486640943E-2</v>
      </c>
    </row>
    <row r="271" spans="1:12" x14ac:dyDescent="0.25">
      <c r="A271" s="1">
        <v>44119</v>
      </c>
      <c r="B271">
        <v>545.52001953125</v>
      </c>
      <c r="C271">
        <v>551.219970703125</v>
      </c>
      <c r="D271">
        <v>535.0999755859375</v>
      </c>
      <c r="E271">
        <v>541.94000244140625</v>
      </c>
      <c r="F271">
        <v>541.94000244140625</v>
      </c>
      <c r="G271">
        <v>5113100</v>
      </c>
      <c r="I271" s="5">
        <f t="shared" si="14"/>
        <v>9.0455009028967629E-4</v>
      </c>
      <c r="K271" s="5">
        <f t="shared" si="15"/>
        <v>269</v>
      </c>
      <c r="L271" s="5">
        <v>-1.5199451381187563E-2</v>
      </c>
    </row>
    <row r="272" spans="1:12" x14ac:dyDescent="0.25">
      <c r="A272" s="1">
        <v>44120</v>
      </c>
      <c r="B272">
        <v>549.5</v>
      </c>
      <c r="C272">
        <v>554.33001708984375</v>
      </c>
      <c r="D272">
        <v>530.030029296875</v>
      </c>
      <c r="E272">
        <v>530.78997802734375</v>
      </c>
      <c r="F272">
        <v>530.78997802734375</v>
      </c>
      <c r="G272">
        <v>6347400</v>
      </c>
      <c r="I272" s="5">
        <f t="shared" si="14"/>
        <v>-2.0788877312871691E-2</v>
      </c>
      <c r="K272" s="5">
        <f t="shared" si="15"/>
        <v>270</v>
      </c>
      <c r="L272" s="5">
        <v>-1.5035097609542823E-2</v>
      </c>
    </row>
    <row r="273" spans="1:12" x14ac:dyDescent="0.25">
      <c r="A273" s="1">
        <v>44123</v>
      </c>
      <c r="B273">
        <v>537.07000732421875</v>
      </c>
      <c r="C273">
        <v>541.79998779296875</v>
      </c>
      <c r="D273">
        <v>525.3800048828125</v>
      </c>
      <c r="E273">
        <v>530.719970703125</v>
      </c>
      <c r="F273">
        <v>530.719970703125</v>
      </c>
      <c r="G273">
        <v>7567500</v>
      </c>
      <c r="I273" s="5">
        <f t="shared" si="14"/>
        <v>-1.3190140027226607E-4</v>
      </c>
      <c r="K273" s="5">
        <f t="shared" si="15"/>
        <v>271</v>
      </c>
      <c r="L273" s="5">
        <v>-1.4956299153718952E-2</v>
      </c>
    </row>
    <row r="274" spans="1:12" x14ac:dyDescent="0.25">
      <c r="A274" s="1">
        <v>44124</v>
      </c>
      <c r="B274">
        <v>528.1400146484375</v>
      </c>
      <c r="C274">
        <v>533.780029296875</v>
      </c>
      <c r="D274">
        <v>522.260009765625</v>
      </c>
      <c r="E274">
        <v>525.41998291015625</v>
      </c>
      <c r="F274">
        <v>525.41998291015625</v>
      </c>
      <c r="G274">
        <v>10047200</v>
      </c>
      <c r="I274" s="5">
        <f t="shared" si="14"/>
        <v>-1.0036609760484632E-2</v>
      </c>
      <c r="K274" s="5">
        <f t="shared" si="15"/>
        <v>272</v>
      </c>
      <c r="L274" s="5">
        <v>-1.4952695059242738E-2</v>
      </c>
    </row>
    <row r="275" spans="1:12" x14ac:dyDescent="0.25">
      <c r="A275" s="1">
        <v>44125</v>
      </c>
      <c r="B275">
        <v>501.02999877929688</v>
      </c>
      <c r="C275">
        <v>506.85000610351563</v>
      </c>
      <c r="D275">
        <v>488.25</v>
      </c>
      <c r="E275">
        <v>489.04998779296875</v>
      </c>
      <c r="F275">
        <v>489.04998779296875</v>
      </c>
      <c r="G275">
        <v>17405700</v>
      </c>
      <c r="I275" s="5">
        <f t="shared" si="14"/>
        <v>-7.1733201460325385E-2</v>
      </c>
      <c r="K275" s="5">
        <f t="shared" si="15"/>
        <v>273</v>
      </c>
      <c r="L275" s="5">
        <v>-1.4943098028939261E-2</v>
      </c>
    </row>
    <row r="276" spans="1:12" x14ac:dyDescent="0.25">
      <c r="A276" s="1">
        <v>44126</v>
      </c>
      <c r="B276">
        <v>494.69000244140625</v>
      </c>
      <c r="C276">
        <v>495.1400146484375</v>
      </c>
      <c r="D276">
        <v>482</v>
      </c>
      <c r="E276">
        <v>485.23001098632813</v>
      </c>
      <c r="F276">
        <v>485.23001098632813</v>
      </c>
      <c r="G276">
        <v>6997900</v>
      </c>
      <c r="I276" s="5">
        <f t="shared" si="14"/>
        <v>-7.8416808027011106E-3</v>
      </c>
      <c r="K276" s="5">
        <f t="shared" si="15"/>
        <v>274</v>
      </c>
      <c r="L276" s="5">
        <v>-1.4885432836000918E-2</v>
      </c>
    </row>
    <row r="277" spans="1:12" x14ac:dyDescent="0.25">
      <c r="A277" s="1">
        <v>44127</v>
      </c>
      <c r="B277">
        <v>488.1099853515625</v>
      </c>
      <c r="C277">
        <v>490.05999755859375</v>
      </c>
      <c r="D277">
        <v>481.35000610351563</v>
      </c>
      <c r="E277">
        <v>488.27999877929688</v>
      </c>
      <c r="F277">
        <v>488.27999877929688</v>
      </c>
      <c r="G277">
        <v>4927900</v>
      </c>
      <c r="I277" s="5">
        <f t="shared" si="14"/>
        <v>6.265981328493834E-3</v>
      </c>
      <c r="K277" s="5">
        <f t="shared" si="15"/>
        <v>275</v>
      </c>
      <c r="L277" s="5">
        <v>-1.4861929934158583E-2</v>
      </c>
    </row>
    <row r="278" spans="1:12" x14ac:dyDescent="0.25">
      <c r="A278" s="1">
        <v>44130</v>
      </c>
      <c r="B278">
        <v>487.02999877929688</v>
      </c>
      <c r="C278">
        <v>496.82000732421875</v>
      </c>
      <c r="D278">
        <v>478.89999389648438</v>
      </c>
      <c r="E278">
        <v>488.239990234375</v>
      </c>
      <c r="F278">
        <v>488.239990234375</v>
      </c>
      <c r="G278">
        <v>6186100</v>
      </c>
      <c r="I278" s="5">
        <f t="shared" si="14"/>
        <v>-8.1941067042879935E-5</v>
      </c>
      <c r="K278" s="5">
        <f t="shared" si="15"/>
        <v>276</v>
      </c>
      <c r="L278" s="5">
        <v>-1.4700203032102087E-2</v>
      </c>
    </row>
    <row r="279" spans="1:12" x14ac:dyDescent="0.25">
      <c r="A279" s="1">
        <v>44131</v>
      </c>
      <c r="B279">
        <v>490.010009765625</v>
      </c>
      <c r="C279">
        <v>490.489990234375</v>
      </c>
      <c r="D279">
        <v>482.92999267578125</v>
      </c>
      <c r="E279">
        <v>488.92999267578125</v>
      </c>
      <c r="F279">
        <v>488.92999267578125</v>
      </c>
      <c r="G279">
        <v>3627200</v>
      </c>
      <c r="I279" s="5">
        <f t="shared" si="14"/>
        <v>1.4122467291352832E-3</v>
      </c>
      <c r="K279" s="5">
        <f t="shared" si="15"/>
        <v>277</v>
      </c>
      <c r="L279" s="5">
        <v>-1.4537401201398733E-2</v>
      </c>
    </row>
    <row r="280" spans="1:12" x14ac:dyDescent="0.25">
      <c r="A280" s="1">
        <v>44132</v>
      </c>
      <c r="B280">
        <v>486.3599853515625</v>
      </c>
      <c r="C280">
        <v>494</v>
      </c>
      <c r="D280">
        <v>483.27999877929688</v>
      </c>
      <c r="E280">
        <v>486.239990234375</v>
      </c>
      <c r="F280">
        <v>486.239990234375</v>
      </c>
      <c r="G280">
        <v>5992700</v>
      </c>
      <c r="I280" s="5">
        <f t="shared" si="14"/>
        <v>-5.5170058791626968E-3</v>
      </c>
      <c r="K280" s="5">
        <f t="shared" si="15"/>
        <v>278</v>
      </c>
      <c r="L280" s="5">
        <v>-1.4528068839855112E-2</v>
      </c>
    </row>
    <row r="281" spans="1:12" x14ac:dyDescent="0.25">
      <c r="A281" s="1">
        <v>44133</v>
      </c>
      <c r="B281">
        <v>488.5</v>
      </c>
      <c r="C281">
        <v>513.9000244140625</v>
      </c>
      <c r="D281">
        <v>479.33999633789063</v>
      </c>
      <c r="E281">
        <v>504.20999145507813</v>
      </c>
      <c r="F281">
        <v>504.20999145507813</v>
      </c>
      <c r="G281">
        <v>11120700</v>
      </c>
      <c r="I281" s="5">
        <f t="shared" si="14"/>
        <v>3.6290521924913832E-2</v>
      </c>
      <c r="K281" s="5">
        <f t="shared" si="15"/>
        <v>279</v>
      </c>
      <c r="L281" s="5">
        <v>-1.4510058071725942E-2</v>
      </c>
    </row>
    <row r="282" spans="1:12" x14ac:dyDescent="0.25">
      <c r="A282" s="1">
        <v>44134</v>
      </c>
      <c r="B282">
        <v>502.010009765625</v>
      </c>
      <c r="C282">
        <v>505.8800048828125</v>
      </c>
      <c r="D282">
        <v>472.20999145507813</v>
      </c>
      <c r="E282">
        <v>475.739990234375</v>
      </c>
      <c r="F282">
        <v>475.739990234375</v>
      </c>
      <c r="G282">
        <v>7807900</v>
      </c>
      <c r="I282" s="5">
        <f t="shared" si="14"/>
        <v>-5.8121365024304927E-2</v>
      </c>
      <c r="K282" s="5">
        <f t="shared" si="15"/>
        <v>280</v>
      </c>
      <c r="L282" s="5">
        <v>-1.4463034494402918E-2</v>
      </c>
    </row>
    <row r="283" spans="1:12" x14ac:dyDescent="0.25">
      <c r="A283" s="1">
        <v>44137</v>
      </c>
      <c r="B283">
        <v>478.8699951171875</v>
      </c>
      <c r="C283">
        <v>486.29998779296875</v>
      </c>
      <c r="D283">
        <v>475</v>
      </c>
      <c r="E283">
        <v>484.1199951171875</v>
      </c>
      <c r="F283">
        <v>484.1199951171875</v>
      </c>
      <c r="G283">
        <v>4408200</v>
      </c>
      <c r="I283" s="5">
        <f t="shared" si="14"/>
        <v>1.7461333799317094E-2</v>
      </c>
      <c r="K283" s="5">
        <f t="shared" si="15"/>
        <v>281</v>
      </c>
      <c r="L283" s="5">
        <v>-1.4235331360392952E-2</v>
      </c>
    </row>
    <row r="284" spans="1:12" x14ac:dyDescent="0.25">
      <c r="A284" s="1">
        <v>44138</v>
      </c>
      <c r="B284">
        <v>484.92999267578125</v>
      </c>
      <c r="C284">
        <v>495.30999755859375</v>
      </c>
      <c r="D284">
        <v>478.760009765625</v>
      </c>
      <c r="E284">
        <v>487.22000122070313</v>
      </c>
      <c r="F284">
        <v>487.22000122070313</v>
      </c>
      <c r="G284">
        <v>3690200</v>
      </c>
      <c r="I284" s="5">
        <f t="shared" si="14"/>
        <v>6.3829691772393062E-3</v>
      </c>
      <c r="K284" s="5">
        <f t="shared" si="15"/>
        <v>282</v>
      </c>
      <c r="L284" s="5">
        <v>-1.4226472155968986E-2</v>
      </c>
    </row>
    <row r="285" spans="1:12" x14ac:dyDescent="0.25">
      <c r="A285" s="1">
        <v>44139</v>
      </c>
      <c r="B285">
        <v>495.3599853515625</v>
      </c>
      <c r="C285">
        <v>507.73001098632813</v>
      </c>
      <c r="D285">
        <v>493.98001098632813</v>
      </c>
      <c r="E285">
        <v>496.95001220703125</v>
      </c>
      <c r="F285">
        <v>496.95001220703125</v>
      </c>
      <c r="G285">
        <v>5137300</v>
      </c>
      <c r="I285" s="5">
        <f t="shared" si="14"/>
        <v>1.9773673016229294E-2</v>
      </c>
      <c r="K285" s="5">
        <f t="shared" si="15"/>
        <v>283</v>
      </c>
      <c r="L285" s="5">
        <v>-1.4210767438566321E-2</v>
      </c>
    </row>
    <row r="286" spans="1:12" x14ac:dyDescent="0.25">
      <c r="A286" s="1">
        <v>44140</v>
      </c>
      <c r="B286">
        <v>506.55999755859375</v>
      </c>
      <c r="C286">
        <v>518.72998046875</v>
      </c>
      <c r="D286">
        <v>503.45001220703125</v>
      </c>
      <c r="E286">
        <v>513.760009765625</v>
      </c>
      <c r="F286">
        <v>513.760009765625</v>
      </c>
      <c r="G286">
        <v>5372800</v>
      </c>
      <c r="I286" s="5">
        <f t="shared" si="14"/>
        <v>3.3266807371432922E-2</v>
      </c>
      <c r="K286" s="5">
        <f t="shared" si="15"/>
        <v>284</v>
      </c>
      <c r="L286" s="5">
        <v>-1.415033007144314E-2</v>
      </c>
    </row>
    <row r="287" spans="1:12" x14ac:dyDescent="0.25">
      <c r="A287" s="1">
        <v>44141</v>
      </c>
      <c r="B287">
        <v>515</v>
      </c>
      <c r="C287">
        <v>515.21002197265625</v>
      </c>
      <c r="D287">
        <v>502.510009765625</v>
      </c>
      <c r="E287">
        <v>514.72998046875</v>
      </c>
      <c r="F287">
        <v>514.72998046875</v>
      </c>
      <c r="G287">
        <v>4236300</v>
      </c>
      <c r="I287" s="5">
        <f t="shared" si="14"/>
        <v>1.8862040465387842E-3</v>
      </c>
      <c r="K287" s="5">
        <f t="shared" si="15"/>
        <v>285</v>
      </c>
      <c r="L287" s="5">
        <v>-1.4141280374822681E-2</v>
      </c>
    </row>
    <row r="288" spans="1:12" x14ac:dyDescent="0.25">
      <c r="A288" s="1">
        <v>44144</v>
      </c>
      <c r="B288">
        <v>485.54000854492188</v>
      </c>
      <c r="C288">
        <v>495.85000610351563</v>
      </c>
      <c r="D288">
        <v>467.260009765625</v>
      </c>
      <c r="E288">
        <v>470.5</v>
      </c>
      <c r="F288">
        <v>470.5</v>
      </c>
      <c r="G288">
        <v>10419700</v>
      </c>
      <c r="I288" s="5">
        <f t="shared" si="14"/>
        <v>-8.9846494370453861E-2</v>
      </c>
      <c r="K288" s="5">
        <f t="shared" si="15"/>
        <v>286</v>
      </c>
      <c r="L288" s="5">
        <v>-1.407887033303229E-2</v>
      </c>
    </row>
    <row r="289" spans="1:12" x14ac:dyDescent="0.25">
      <c r="A289" s="1">
        <v>44145</v>
      </c>
      <c r="B289">
        <v>470.95001220703125</v>
      </c>
      <c r="C289">
        <v>484.60000610351563</v>
      </c>
      <c r="D289">
        <v>463.41000366210938</v>
      </c>
      <c r="E289">
        <v>480.239990234375</v>
      </c>
      <c r="F289">
        <v>480.239990234375</v>
      </c>
      <c r="G289">
        <v>8306100</v>
      </c>
      <c r="I289" s="5">
        <f t="shared" si="14"/>
        <v>2.048999958326846E-2</v>
      </c>
      <c r="K289" s="5">
        <f t="shared" si="15"/>
        <v>287</v>
      </c>
      <c r="L289" s="5">
        <v>-1.395872588278327E-2</v>
      </c>
    </row>
    <row r="290" spans="1:12" x14ac:dyDescent="0.25">
      <c r="A290" s="1">
        <v>44146</v>
      </c>
      <c r="B290">
        <v>483</v>
      </c>
      <c r="C290">
        <v>491.67999267578125</v>
      </c>
      <c r="D290">
        <v>478.260009765625</v>
      </c>
      <c r="E290">
        <v>490.760009765625</v>
      </c>
      <c r="F290">
        <v>490.760009765625</v>
      </c>
      <c r="G290">
        <v>5460500</v>
      </c>
      <c r="I290" s="5">
        <f t="shared" si="14"/>
        <v>2.1669271213262366E-2</v>
      </c>
      <c r="K290" s="5">
        <f t="shared" si="15"/>
        <v>288</v>
      </c>
      <c r="L290" s="5">
        <v>-1.3938390281830085E-2</v>
      </c>
    </row>
    <row r="291" spans="1:12" x14ac:dyDescent="0.25">
      <c r="A291" s="1">
        <v>44147</v>
      </c>
      <c r="B291">
        <v>491</v>
      </c>
      <c r="C291">
        <v>496.51998901367188</v>
      </c>
      <c r="D291">
        <v>480.42999267578125</v>
      </c>
      <c r="E291">
        <v>486.76998901367188</v>
      </c>
      <c r="F291">
        <v>486.76998901367188</v>
      </c>
      <c r="G291">
        <v>5063700</v>
      </c>
      <c r="I291" s="5">
        <f t="shared" si="14"/>
        <v>-8.1635201289866257E-3</v>
      </c>
      <c r="K291" s="5">
        <f t="shared" si="15"/>
        <v>289</v>
      </c>
      <c r="L291" s="5">
        <v>-1.3920004861961871E-2</v>
      </c>
    </row>
    <row r="292" spans="1:12" x14ac:dyDescent="0.25">
      <c r="A292" s="1">
        <v>44148</v>
      </c>
      <c r="B292">
        <v>486.76998901367188</v>
      </c>
      <c r="C292">
        <v>488.94000244140625</v>
      </c>
      <c r="D292">
        <v>477.79998779296875</v>
      </c>
      <c r="E292">
        <v>482.83999633789063</v>
      </c>
      <c r="F292">
        <v>482.83999633789063</v>
      </c>
      <c r="G292">
        <v>3002700</v>
      </c>
      <c r="I292" s="5">
        <f t="shared" si="14"/>
        <v>-8.106381444571693E-3</v>
      </c>
      <c r="K292" s="5">
        <f t="shared" si="15"/>
        <v>290</v>
      </c>
      <c r="L292" s="5">
        <v>-1.3823979837664669E-2</v>
      </c>
    </row>
    <row r="293" spans="1:12" x14ac:dyDescent="0.25">
      <c r="A293" s="1">
        <v>44151</v>
      </c>
      <c r="B293">
        <v>480</v>
      </c>
      <c r="C293">
        <v>485.57998657226563</v>
      </c>
      <c r="D293">
        <v>477.29998779296875</v>
      </c>
      <c r="E293">
        <v>479.10000610351563</v>
      </c>
      <c r="F293">
        <v>479.10000610351563</v>
      </c>
      <c r="G293">
        <v>3953600</v>
      </c>
      <c r="I293" s="5">
        <f t="shared" si="14"/>
        <v>-7.7759716197862644E-3</v>
      </c>
      <c r="K293" s="5">
        <f t="shared" si="15"/>
        <v>291</v>
      </c>
      <c r="L293" s="5">
        <v>-1.3741401442318363E-2</v>
      </c>
    </row>
    <row r="294" spans="1:12" x14ac:dyDescent="0.25">
      <c r="A294" s="1">
        <v>44152</v>
      </c>
      <c r="B294">
        <v>480.1199951171875</v>
      </c>
      <c r="C294">
        <v>487.510009765625</v>
      </c>
      <c r="D294">
        <v>478.85000610351563</v>
      </c>
      <c r="E294">
        <v>480.6300048828125</v>
      </c>
      <c r="F294">
        <v>480.6300048828125</v>
      </c>
      <c r="G294">
        <v>3698100</v>
      </c>
      <c r="I294" s="5">
        <f t="shared" si="14"/>
        <v>3.1883968573041288E-3</v>
      </c>
      <c r="K294" s="5">
        <f t="shared" si="15"/>
        <v>292</v>
      </c>
      <c r="L294" s="5">
        <v>-1.3720418780951543E-2</v>
      </c>
    </row>
    <row r="295" spans="1:12" x14ac:dyDescent="0.25">
      <c r="A295" s="1">
        <v>44153</v>
      </c>
      <c r="B295">
        <v>481.95001220703125</v>
      </c>
      <c r="C295">
        <v>488.6099853515625</v>
      </c>
      <c r="D295">
        <v>477.72000122070313</v>
      </c>
      <c r="E295">
        <v>481.79000854492188</v>
      </c>
      <c r="F295">
        <v>481.79000854492188</v>
      </c>
      <c r="G295">
        <v>3629200</v>
      </c>
      <c r="I295" s="5">
        <f t="shared" si="14"/>
        <v>2.4105987150212188E-3</v>
      </c>
      <c r="K295" s="5">
        <f t="shared" si="15"/>
        <v>293</v>
      </c>
      <c r="L295" s="5">
        <v>-1.3707564763362368E-2</v>
      </c>
    </row>
    <row r="296" spans="1:12" x14ac:dyDescent="0.25">
      <c r="A296" s="1">
        <v>44154</v>
      </c>
      <c r="B296">
        <v>482</v>
      </c>
      <c r="C296">
        <v>487.79998779296875</v>
      </c>
      <c r="D296">
        <v>480.47000122070313</v>
      </c>
      <c r="E296">
        <v>484.67001342773438</v>
      </c>
      <c r="F296">
        <v>484.67001342773438</v>
      </c>
      <c r="G296">
        <v>2254700</v>
      </c>
      <c r="I296" s="5">
        <f t="shared" si="14"/>
        <v>5.9599224847514719E-3</v>
      </c>
      <c r="K296" s="5">
        <f t="shared" si="15"/>
        <v>294</v>
      </c>
      <c r="L296" s="5">
        <v>-1.3591436503142257E-2</v>
      </c>
    </row>
    <row r="297" spans="1:12" x14ac:dyDescent="0.25">
      <c r="A297" s="1">
        <v>44155</v>
      </c>
      <c r="B297">
        <v>485.22000122070313</v>
      </c>
      <c r="C297">
        <v>494.760009765625</v>
      </c>
      <c r="D297">
        <v>481.57000732421875</v>
      </c>
      <c r="E297">
        <v>488.239990234375</v>
      </c>
      <c r="F297">
        <v>488.239990234375</v>
      </c>
      <c r="G297">
        <v>4253400</v>
      </c>
      <c r="I297" s="5">
        <f t="shared" si="14"/>
        <v>7.3387935488522724E-3</v>
      </c>
      <c r="K297" s="5">
        <f t="shared" si="15"/>
        <v>295</v>
      </c>
      <c r="L297" s="5">
        <v>-1.3566866701589231E-2</v>
      </c>
    </row>
    <row r="298" spans="1:12" x14ac:dyDescent="0.25">
      <c r="A298" s="1">
        <v>44158</v>
      </c>
      <c r="B298">
        <v>490.45999145507813</v>
      </c>
      <c r="C298">
        <v>491.14999389648438</v>
      </c>
      <c r="D298">
        <v>475.83999633789063</v>
      </c>
      <c r="E298">
        <v>476.6199951171875</v>
      </c>
      <c r="F298">
        <v>476.6199951171875</v>
      </c>
      <c r="G298">
        <v>5416600</v>
      </c>
      <c r="I298" s="5">
        <f t="shared" si="14"/>
        <v>-2.4087550783997269E-2</v>
      </c>
      <c r="K298" s="5">
        <f t="shared" si="15"/>
        <v>296</v>
      </c>
      <c r="L298" s="5">
        <v>-1.356239775503066E-2</v>
      </c>
    </row>
    <row r="299" spans="1:12" x14ac:dyDescent="0.25">
      <c r="A299" s="1">
        <v>44159</v>
      </c>
      <c r="B299">
        <v>478.83999633789063</v>
      </c>
      <c r="C299">
        <v>484.04998779296875</v>
      </c>
      <c r="D299">
        <v>475.8900146484375</v>
      </c>
      <c r="E299">
        <v>482.8800048828125</v>
      </c>
      <c r="F299">
        <v>482.8800048828125</v>
      </c>
      <c r="G299">
        <v>3550500</v>
      </c>
      <c r="I299" s="5">
        <f t="shared" si="14"/>
        <v>1.304866824078665E-2</v>
      </c>
      <c r="K299" s="5">
        <f t="shared" si="15"/>
        <v>297</v>
      </c>
      <c r="L299" s="5">
        <v>-1.3475846292513619E-2</v>
      </c>
    </row>
    <row r="300" spans="1:12" x14ac:dyDescent="0.25">
      <c r="A300" s="1">
        <v>44160</v>
      </c>
      <c r="B300">
        <v>485.1300048828125</v>
      </c>
      <c r="C300">
        <v>486.89999389648438</v>
      </c>
      <c r="D300">
        <v>478.92001342773438</v>
      </c>
      <c r="E300">
        <v>485</v>
      </c>
      <c r="F300">
        <v>485</v>
      </c>
      <c r="G300">
        <v>3598600</v>
      </c>
      <c r="I300" s="5">
        <f t="shared" si="14"/>
        <v>4.3807052461442347E-3</v>
      </c>
      <c r="K300" s="5">
        <f t="shared" si="15"/>
        <v>298</v>
      </c>
      <c r="L300" s="5">
        <v>-1.3453519228123443E-2</v>
      </c>
    </row>
    <row r="301" spans="1:12" x14ac:dyDescent="0.25">
      <c r="A301" s="1">
        <v>44162</v>
      </c>
      <c r="B301">
        <v>486.57998657226563</v>
      </c>
      <c r="C301">
        <v>493.25</v>
      </c>
      <c r="D301">
        <v>481.85000610351563</v>
      </c>
      <c r="E301">
        <v>491.3599853515625</v>
      </c>
      <c r="F301">
        <v>491.3599853515625</v>
      </c>
      <c r="G301">
        <v>2805800</v>
      </c>
      <c r="I301" s="5">
        <f t="shared" si="14"/>
        <v>1.302813594300185E-2</v>
      </c>
      <c r="K301" s="5">
        <f t="shared" si="15"/>
        <v>299</v>
      </c>
      <c r="L301" s="5">
        <v>-1.3328885722730451E-2</v>
      </c>
    </row>
    <row r="302" spans="1:12" x14ac:dyDescent="0.25">
      <c r="A302" s="1">
        <v>44165</v>
      </c>
      <c r="B302">
        <v>490.07998657226563</v>
      </c>
      <c r="C302">
        <v>492.54998779296875</v>
      </c>
      <c r="D302">
        <v>481.26998901367188</v>
      </c>
      <c r="E302">
        <v>490.70001220703125</v>
      </c>
      <c r="F302">
        <v>490.70001220703125</v>
      </c>
      <c r="G302">
        <v>3530900</v>
      </c>
      <c r="I302" s="5">
        <f t="shared" si="14"/>
        <v>-1.3440589078570948E-3</v>
      </c>
      <c r="K302" s="5">
        <f t="shared" si="15"/>
        <v>300</v>
      </c>
      <c r="L302" s="5">
        <v>-1.3070289190546373E-2</v>
      </c>
    </row>
    <row r="303" spans="1:12" x14ac:dyDescent="0.25">
      <c r="A303" s="1">
        <v>44166</v>
      </c>
      <c r="B303">
        <v>492.33999633789063</v>
      </c>
      <c r="C303">
        <v>509.47000122070313</v>
      </c>
      <c r="D303">
        <v>491.98001098632813</v>
      </c>
      <c r="E303">
        <v>504.57998657226563</v>
      </c>
      <c r="F303">
        <v>504.57998657226563</v>
      </c>
      <c r="G303">
        <v>5052700</v>
      </c>
      <c r="I303" s="5">
        <f t="shared" si="14"/>
        <v>2.7893405482385898E-2</v>
      </c>
      <c r="K303" s="5">
        <f t="shared" si="15"/>
        <v>301</v>
      </c>
      <c r="L303" s="5">
        <v>-1.3010182924892894E-2</v>
      </c>
    </row>
    <row r="304" spans="1:12" x14ac:dyDescent="0.25">
      <c r="A304" s="1">
        <v>44167</v>
      </c>
      <c r="B304">
        <v>501.6199951171875</v>
      </c>
      <c r="C304">
        <v>506.79998779296875</v>
      </c>
      <c r="D304">
        <v>493.5</v>
      </c>
      <c r="E304">
        <v>503.3800048828125</v>
      </c>
      <c r="F304">
        <v>503.3800048828125</v>
      </c>
      <c r="G304">
        <v>3028400</v>
      </c>
      <c r="I304" s="5">
        <f t="shared" si="14"/>
        <v>-2.3810116801041073E-3</v>
      </c>
      <c r="K304" s="5">
        <f t="shared" si="15"/>
        <v>302</v>
      </c>
      <c r="L304" s="5">
        <v>-1.27704357995776E-2</v>
      </c>
    </row>
    <row r="305" spans="1:12" x14ac:dyDescent="0.25">
      <c r="A305" s="1">
        <v>44168</v>
      </c>
      <c r="B305">
        <v>502.989990234375</v>
      </c>
      <c r="C305">
        <v>508.76998901367188</v>
      </c>
      <c r="D305">
        <v>496.04000854492188</v>
      </c>
      <c r="E305">
        <v>497.51998901367188</v>
      </c>
      <c r="F305">
        <v>497.51998901367188</v>
      </c>
      <c r="G305">
        <v>2826100</v>
      </c>
      <c r="I305" s="5">
        <f t="shared" si="14"/>
        <v>-1.1709627061459863E-2</v>
      </c>
      <c r="K305" s="5">
        <f t="shared" si="15"/>
        <v>303</v>
      </c>
      <c r="L305" s="5">
        <v>-1.2751168719740563E-2</v>
      </c>
    </row>
    <row r="306" spans="1:12" x14ac:dyDescent="0.25">
      <c r="A306" s="1">
        <v>44169</v>
      </c>
      <c r="B306">
        <v>497.5</v>
      </c>
      <c r="C306">
        <v>504.5</v>
      </c>
      <c r="D306">
        <v>493.6400146484375</v>
      </c>
      <c r="E306">
        <v>498.30999755859375</v>
      </c>
      <c r="F306">
        <v>498.30999755859375</v>
      </c>
      <c r="G306">
        <v>3666200</v>
      </c>
      <c r="I306" s="5">
        <f t="shared" si="14"/>
        <v>1.5866337051612417E-3</v>
      </c>
      <c r="K306" s="5">
        <f t="shared" si="15"/>
        <v>304</v>
      </c>
      <c r="L306" s="5">
        <v>-1.2715594695293717E-2</v>
      </c>
    </row>
    <row r="307" spans="1:12" x14ac:dyDescent="0.25">
      <c r="A307" s="1">
        <v>44172</v>
      </c>
      <c r="B307">
        <v>500.010009765625</v>
      </c>
      <c r="C307">
        <v>517.760009765625</v>
      </c>
      <c r="D307">
        <v>497.76998901367188</v>
      </c>
      <c r="E307">
        <v>515.780029296875</v>
      </c>
      <c r="F307">
        <v>515.780029296875</v>
      </c>
      <c r="G307">
        <v>4289300</v>
      </c>
      <c r="I307" s="5">
        <f t="shared" si="14"/>
        <v>3.4458006359096641E-2</v>
      </c>
      <c r="K307" s="5">
        <f t="shared" si="15"/>
        <v>305</v>
      </c>
      <c r="L307" s="5">
        <v>-1.2575515069765357E-2</v>
      </c>
    </row>
    <row r="308" spans="1:12" x14ac:dyDescent="0.25">
      <c r="A308" s="1">
        <v>44173</v>
      </c>
      <c r="B308">
        <v>517.9000244140625</v>
      </c>
      <c r="C308">
        <v>521.489990234375</v>
      </c>
      <c r="D308">
        <v>505.54998779296875</v>
      </c>
      <c r="E308">
        <v>512.65997314453125</v>
      </c>
      <c r="F308">
        <v>512.65997314453125</v>
      </c>
      <c r="G308">
        <v>4229000</v>
      </c>
      <c r="I308" s="5">
        <f t="shared" si="14"/>
        <v>-6.0675697505117561E-3</v>
      </c>
      <c r="K308" s="5">
        <f t="shared" si="15"/>
        <v>306</v>
      </c>
      <c r="L308" s="5">
        <v>-1.2450001334844358E-2</v>
      </c>
    </row>
    <row r="309" spans="1:12" x14ac:dyDescent="0.25">
      <c r="A309" s="1">
        <v>44174</v>
      </c>
      <c r="B309">
        <v>510.52999877929688</v>
      </c>
      <c r="C309">
        <v>514.5</v>
      </c>
      <c r="D309">
        <v>491.29000854492188</v>
      </c>
      <c r="E309">
        <v>493.60000610351563</v>
      </c>
      <c r="F309">
        <v>493.60000610351563</v>
      </c>
      <c r="G309">
        <v>4178800</v>
      </c>
      <c r="I309" s="5">
        <f t="shared" si="14"/>
        <v>-3.7887320070710877E-2</v>
      </c>
      <c r="K309" s="5">
        <f t="shared" si="15"/>
        <v>307</v>
      </c>
      <c r="L309" s="5">
        <v>-1.2432154312470252E-2</v>
      </c>
    </row>
    <row r="310" spans="1:12" x14ac:dyDescent="0.25">
      <c r="A310" s="1">
        <v>44175</v>
      </c>
      <c r="B310">
        <v>494.55999755859375</v>
      </c>
      <c r="C310">
        <v>503.76998901367188</v>
      </c>
      <c r="D310">
        <v>492.91000366210938</v>
      </c>
      <c r="E310">
        <v>501.08999633789063</v>
      </c>
      <c r="F310">
        <v>501.08999633789063</v>
      </c>
      <c r="G310">
        <v>3018200</v>
      </c>
      <c r="I310" s="5">
        <f t="shared" si="14"/>
        <v>1.5060233405193964E-2</v>
      </c>
      <c r="K310" s="5">
        <f t="shared" si="15"/>
        <v>308</v>
      </c>
      <c r="L310" s="5">
        <v>-1.2288753702753943E-2</v>
      </c>
    </row>
    <row r="311" spans="1:12" x14ac:dyDescent="0.25">
      <c r="A311" s="1">
        <v>44176</v>
      </c>
      <c r="B311">
        <v>495</v>
      </c>
      <c r="C311">
        <v>503.33999633789063</v>
      </c>
      <c r="D311">
        <v>494.85000610351563</v>
      </c>
      <c r="E311">
        <v>503.22000122070313</v>
      </c>
      <c r="F311">
        <v>503.22000122070313</v>
      </c>
      <c r="G311">
        <v>3210900</v>
      </c>
      <c r="I311" s="5">
        <f t="shared" si="14"/>
        <v>4.2417342884800415E-3</v>
      </c>
      <c r="K311" s="5">
        <f t="shared" si="15"/>
        <v>309</v>
      </c>
      <c r="L311" s="5">
        <v>-1.2278585910383029E-2</v>
      </c>
    </row>
    <row r="312" spans="1:12" x14ac:dyDescent="0.25">
      <c r="A312" s="1">
        <v>44179</v>
      </c>
      <c r="B312">
        <v>505.44000244140625</v>
      </c>
      <c r="C312">
        <v>524.15997314453125</v>
      </c>
      <c r="D312">
        <v>501.17999267578125</v>
      </c>
      <c r="E312">
        <v>522.41998291015625</v>
      </c>
      <c r="F312">
        <v>522.41998291015625</v>
      </c>
      <c r="G312">
        <v>5770400</v>
      </c>
      <c r="I312" s="5">
        <f t="shared" si="14"/>
        <v>3.744437670557571E-2</v>
      </c>
      <c r="K312" s="5">
        <f t="shared" si="15"/>
        <v>310</v>
      </c>
      <c r="L312" s="5">
        <v>-1.2198860544813448E-2</v>
      </c>
    </row>
    <row r="313" spans="1:12" x14ac:dyDescent="0.25">
      <c r="A313" s="1">
        <v>44180</v>
      </c>
      <c r="B313">
        <v>518.5</v>
      </c>
      <c r="C313">
        <v>524.70001220703125</v>
      </c>
      <c r="D313">
        <v>513.55999755859375</v>
      </c>
      <c r="E313">
        <v>519.780029296875</v>
      </c>
      <c r="F313">
        <v>519.780029296875</v>
      </c>
      <c r="G313">
        <v>3394900</v>
      </c>
      <c r="I313" s="5">
        <f t="shared" si="14"/>
        <v>-5.0661278616422516E-3</v>
      </c>
      <c r="K313" s="5">
        <f t="shared" si="15"/>
        <v>311</v>
      </c>
      <c r="L313" s="5">
        <v>-1.2172953210852497E-2</v>
      </c>
    </row>
    <row r="314" spans="1:12" x14ac:dyDescent="0.25">
      <c r="A314" s="1">
        <v>44181</v>
      </c>
      <c r="B314">
        <v>520.1099853515625</v>
      </c>
      <c r="C314">
        <v>527.3800048828125</v>
      </c>
      <c r="D314">
        <v>517.69000244140625</v>
      </c>
      <c r="E314">
        <v>524.83001708984375</v>
      </c>
      <c r="F314">
        <v>524.83001708984375</v>
      </c>
      <c r="G314">
        <v>3682400</v>
      </c>
      <c r="I314" s="5">
        <f t="shared" si="14"/>
        <v>9.668731698724134E-3</v>
      </c>
      <c r="K314" s="5">
        <f t="shared" si="15"/>
        <v>312</v>
      </c>
      <c r="L314" s="5">
        <v>-1.2153309917945941E-2</v>
      </c>
    </row>
    <row r="315" spans="1:12" x14ac:dyDescent="0.25">
      <c r="A315" s="1">
        <v>44182</v>
      </c>
      <c r="B315">
        <v>529</v>
      </c>
      <c r="C315">
        <v>535.489990234375</v>
      </c>
      <c r="D315">
        <v>526.44000244140625</v>
      </c>
      <c r="E315">
        <v>532.9000244140625</v>
      </c>
      <c r="F315">
        <v>532.9000244140625</v>
      </c>
      <c r="G315">
        <v>3193400</v>
      </c>
      <c r="I315" s="5">
        <f t="shared" si="14"/>
        <v>1.5259401923509103E-2</v>
      </c>
      <c r="K315" s="5">
        <f t="shared" si="15"/>
        <v>313</v>
      </c>
      <c r="L315" s="5">
        <v>-1.2042406144593893E-2</v>
      </c>
    </row>
    <row r="316" spans="1:12" x14ac:dyDescent="0.25">
      <c r="A316" s="1">
        <v>44183</v>
      </c>
      <c r="B316">
        <v>533.20001220703125</v>
      </c>
      <c r="C316">
        <v>536.3699951171875</v>
      </c>
      <c r="D316">
        <v>526.02001953125</v>
      </c>
      <c r="E316">
        <v>534.45001220703125</v>
      </c>
      <c r="F316">
        <v>534.45001220703125</v>
      </c>
      <c r="G316">
        <v>4502700</v>
      </c>
      <c r="I316" s="5">
        <f t="shared" si="14"/>
        <v>2.9043684439899169E-3</v>
      </c>
      <c r="K316" s="5">
        <f t="shared" si="15"/>
        <v>314</v>
      </c>
      <c r="L316" s="5">
        <v>-1.199258582848736E-2</v>
      </c>
    </row>
    <row r="317" spans="1:12" x14ac:dyDescent="0.25">
      <c r="A317" s="1">
        <v>44186</v>
      </c>
      <c r="B317">
        <v>530.04998779296875</v>
      </c>
      <c r="C317">
        <v>532.6199951171875</v>
      </c>
      <c r="D317">
        <v>521.1500244140625</v>
      </c>
      <c r="E317">
        <v>528.90997314453125</v>
      </c>
      <c r="F317">
        <v>528.90997314453125</v>
      </c>
      <c r="G317">
        <v>3894000</v>
      </c>
      <c r="I317" s="5">
        <f t="shared" si="14"/>
        <v>-1.0419969276425557E-2</v>
      </c>
      <c r="K317" s="5">
        <f t="shared" si="15"/>
        <v>315</v>
      </c>
      <c r="L317" s="5">
        <v>-1.1926156554934144E-2</v>
      </c>
    </row>
    <row r="318" spans="1:12" x14ac:dyDescent="0.25">
      <c r="A318" s="1">
        <v>44187</v>
      </c>
      <c r="B318">
        <v>527.69000244140625</v>
      </c>
      <c r="C318">
        <v>530.4000244140625</v>
      </c>
      <c r="D318">
        <v>520.5</v>
      </c>
      <c r="E318">
        <v>527.33001708984375</v>
      </c>
      <c r="F318">
        <v>527.33001708984375</v>
      </c>
      <c r="G318">
        <v>1906600</v>
      </c>
      <c r="I318" s="5">
        <f t="shared" si="14"/>
        <v>-2.9916633486432309E-3</v>
      </c>
      <c r="K318" s="5">
        <f t="shared" si="15"/>
        <v>316</v>
      </c>
      <c r="L318" s="5">
        <v>-1.1900104676573202E-2</v>
      </c>
    </row>
    <row r="319" spans="1:12" x14ac:dyDescent="0.25">
      <c r="A319" s="1">
        <v>44188</v>
      </c>
      <c r="B319">
        <v>524.760009765625</v>
      </c>
      <c r="C319">
        <v>526.32000732421875</v>
      </c>
      <c r="D319">
        <v>514.20001220703125</v>
      </c>
      <c r="E319">
        <v>514.47998046875</v>
      </c>
      <c r="F319">
        <v>514.47998046875</v>
      </c>
      <c r="G319">
        <v>2393200</v>
      </c>
      <c r="I319" s="5">
        <f t="shared" si="14"/>
        <v>-2.4669927071729266E-2</v>
      </c>
      <c r="K319" s="5">
        <f t="shared" si="15"/>
        <v>317</v>
      </c>
      <c r="L319" s="5">
        <v>-1.1874014578866591E-2</v>
      </c>
    </row>
    <row r="320" spans="1:12" x14ac:dyDescent="0.25">
      <c r="A320" s="1">
        <v>44189</v>
      </c>
      <c r="B320">
        <v>515.1199951171875</v>
      </c>
      <c r="C320">
        <v>519.3499755859375</v>
      </c>
      <c r="D320">
        <v>512.21002197265625</v>
      </c>
      <c r="E320">
        <v>513.969970703125</v>
      </c>
      <c r="F320">
        <v>513.969970703125</v>
      </c>
      <c r="G320">
        <v>1144000</v>
      </c>
      <c r="I320" s="5">
        <f t="shared" si="14"/>
        <v>-9.9180287159478134E-4</v>
      </c>
      <c r="K320" s="5">
        <f t="shared" si="15"/>
        <v>318</v>
      </c>
      <c r="L320" s="5">
        <v>-1.1867566406994684E-2</v>
      </c>
    </row>
    <row r="321" spans="1:12" x14ac:dyDescent="0.25">
      <c r="A321" s="1">
        <v>44193</v>
      </c>
      <c r="B321">
        <v>516.42999267578125</v>
      </c>
      <c r="C321">
        <v>523.65997314453125</v>
      </c>
      <c r="D321">
        <v>507.1300048828125</v>
      </c>
      <c r="E321">
        <v>519.1199951171875</v>
      </c>
      <c r="F321">
        <v>519.1199951171875</v>
      </c>
      <c r="G321">
        <v>2891900</v>
      </c>
      <c r="I321" s="5">
        <f t="shared" si="14"/>
        <v>9.9702199150478784E-3</v>
      </c>
      <c r="K321" s="5">
        <f t="shared" si="15"/>
        <v>319</v>
      </c>
      <c r="L321" s="5">
        <v>-1.1853375909338512E-2</v>
      </c>
    </row>
    <row r="322" spans="1:12" x14ac:dyDescent="0.25">
      <c r="A322" s="1">
        <v>44194</v>
      </c>
      <c r="B322">
        <v>519.9000244140625</v>
      </c>
      <c r="C322">
        <v>536.54998779296875</v>
      </c>
      <c r="D322">
        <v>515.47998046875</v>
      </c>
      <c r="E322">
        <v>530.8699951171875</v>
      </c>
      <c r="F322">
        <v>530.8699951171875</v>
      </c>
      <c r="G322">
        <v>4022400</v>
      </c>
      <c r="I322" s="5">
        <f t="shared" si="14"/>
        <v>2.2382100071357564E-2</v>
      </c>
      <c r="K322" s="5">
        <f t="shared" si="15"/>
        <v>320</v>
      </c>
      <c r="L322" s="5">
        <v>-1.183830992829654E-2</v>
      </c>
    </row>
    <row r="323" spans="1:12" x14ac:dyDescent="0.25">
      <c r="A323" s="1">
        <v>44195</v>
      </c>
      <c r="B323">
        <v>530.1300048828125</v>
      </c>
      <c r="C323">
        <v>533.260009765625</v>
      </c>
      <c r="D323">
        <v>523.69000244140625</v>
      </c>
      <c r="E323">
        <v>524.59002685546875</v>
      </c>
      <c r="F323">
        <v>524.59002685546875</v>
      </c>
      <c r="G323">
        <v>1876300</v>
      </c>
      <c r="I323" s="5">
        <f t="shared" si="14"/>
        <v>-1.1900104676573202E-2</v>
      </c>
      <c r="K323" s="5">
        <f t="shared" si="15"/>
        <v>321</v>
      </c>
      <c r="L323" s="5">
        <v>-1.1830279271837411E-2</v>
      </c>
    </row>
    <row r="324" spans="1:12" x14ac:dyDescent="0.25">
      <c r="A324" s="1">
        <v>44196</v>
      </c>
      <c r="B324">
        <v>525.530029296875</v>
      </c>
      <c r="C324">
        <v>545.5</v>
      </c>
      <c r="D324">
        <v>523.1500244140625</v>
      </c>
      <c r="E324">
        <v>540.72998046875</v>
      </c>
      <c r="F324">
        <v>540.72998046875</v>
      </c>
      <c r="G324">
        <v>5392300</v>
      </c>
      <c r="I324" s="5">
        <f t="shared" ref="I324:I387" si="16">LN(F324/F323)</f>
        <v>3.0302986059219248E-2</v>
      </c>
      <c r="K324" s="5">
        <f t="shared" ref="K324:K387" si="17">_xlfn.RANK.AVG(L324,_xlfn.ANCHORARRAY($L$3),1)</f>
        <v>322</v>
      </c>
      <c r="L324" s="5">
        <v>-1.1774309296371046E-2</v>
      </c>
    </row>
    <row r="325" spans="1:12" x14ac:dyDescent="0.25">
      <c r="A325" s="1">
        <v>44200</v>
      </c>
      <c r="B325">
        <v>539</v>
      </c>
      <c r="C325">
        <v>540.79998779296875</v>
      </c>
      <c r="D325">
        <v>515.09002685546875</v>
      </c>
      <c r="E325">
        <v>522.8599853515625</v>
      </c>
      <c r="F325">
        <v>522.8599853515625</v>
      </c>
      <c r="G325">
        <v>4444400</v>
      </c>
      <c r="I325" s="5">
        <f t="shared" si="16"/>
        <v>-3.3606328570916652E-2</v>
      </c>
      <c r="K325" s="5">
        <f t="shared" si="17"/>
        <v>323</v>
      </c>
      <c r="L325" s="5">
        <v>-1.1716130036615516E-2</v>
      </c>
    </row>
    <row r="326" spans="1:12" x14ac:dyDescent="0.25">
      <c r="A326" s="1">
        <v>44201</v>
      </c>
      <c r="B326">
        <v>521.54998779296875</v>
      </c>
      <c r="C326">
        <v>526.780029296875</v>
      </c>
      <c r="D326">
        <v>515.8900146484375</v>
      </c>
      <c r="E326">
        <v>520.79998779296875</v>
      </c>
      <c r="F326">
        <v>520.79998779296875</v>
      </c>
      <c r="G326">
        <v>3133900</v>
      </c>
      <c r="I326" s="5">
        <f t="shared" si="16"/>
        <v>-3.9476463346989734E-3</v>
      </c>
      <c r="K326" s="5">
        <f t="shared" si="17"/>
        <v>324</v>
      </c>
      <c r="L326" s="5">
        <v>-1.1709627061459863E-2</v>
      </c>
    </row>
    <row r="327" spans="1:12" x14ac:dyDescent="0.25">
      <c r="A327" s="1">
        <v>44202</v>
      </c>
      <c r="B327">
        <v>511.97000122070313</v>
      </c>
      <c r="C327">
        <v>513.0999755859375</v>
      </c>
      <c r="D327">
        <v>499.5</v>
      </c>
      <c r="E327">
        <v>500.489990234375</v>
      </c>
      <c r="F327">
        <v>500.489990234375</v>
      </c>
      <c r="G327">
        <v>5346200</v>
      </c>
      <c r="I327" s="5">
        <f t="shared" si="16"/>
        <v>-3.9778468431795409E-2</v>
      </c>
      <c r="K327" s="5">
        <f t="shared" si="17"/>
        <v>325</v>
      </c>
      <c r="L327" s="5">
        <v>-1.1699310229601426E-2</v>
      </c>
    </row>
    <row r="328" spans="1:12" x14ac:dyDescent="0.25">
      <c r="A328" s="1">
        <v>44203</v>
      </c>
      <c r="B328">
        <v>508.27999877929688</v>
      </c>
      <c r="C328">
        <v>516.44000244140625</v>
      </c>
      <c r="D328">
        <v>506.42001342773438</v>
      </c>
      <c r="E328">
        <v>508.8900146484375</v>
      </c>
      <c r="F328">
        <v>508.8900146484375</v>
      </c>
      <c r="G328">
        <v>3686400</v>
      </c>
      <c r="I328" s="5">
        <f t="shared" si="16"/>
        <v>1.6644312937253391E-2</v>
      </c>
      <c r="K328" s="5">
        <f t="shared" si="17"/>
        <v>326</v>
      </c>
      <c r="L328" s="5">
        <v>-1.1683681716761905E-2</v>
      </c>
    </row>
    <row r="329" spans="1:12" x14ac:dyDescent="0.25">
      <c r="A329" s="1">
        <v>44204</v>
      </c>
      <c r="B329">
        <v>511.30999755859375</v>
      </c>
      <c r="C329">
        <v>513.239990234375</v>
      </c>
      <c r="D329">
        <v>504.510009765625</v>
      </c>
      <c r="E329">
        <v>510.39999389648438</v>
      </c>
      <c r="F329">
        <v>510.39999389648438</v>
      </c>
      <c r="G329">
        <v>2973900</v>
      </c>
      <c r="I329" s="5">
        <f t="shared" si="16"/>
        <v>2.9628081114642787E-3</v>
      </c>
      <c r="K329" s="5">
        <f t="shared" si="17"/>
        <v>327</v>
      </c>
      <c r="L329" s="5">
        <v>-1.1675611998579877E-2</v>
      </c>
    </row>
    <row r="330" spans="1:12" x14ac:dyDescent="0.25">
      <c r="A330" s="1">
        <v>44207</v>
      </c>
      <c r="B330">
        <v>507.83999633789063</v>
      </c>
      <c r="C330">
        <v>510.73001098632813</v>
      </c>
      <c r="D330">
        <v>497.95001220703125</v>
      </c>
      <c r="E330">
        <v>499.10000610351563</v>
      </c>
      <c r="F330">
        <v>499.10000610351563</v>
      </c>
      <c r="G330">
        <v>3806200</v>
      </c>
      <c r="I330" s="5">
        <f t="shared" si="16"/>
        <v>-2.2388231367674413E-2</v>
      </c>
      <c r="K330" s="5">
        <f t="shared" si="17"/>
        <v>328</v>
      </c>
      <c r="L330" s="5">
        <v>-1.159680405973181E-2</v>
      </c>
    </row>
    <row r="331" spans="1:12" x14ac:dyDescent="0.25">
      <c r="A331" s="1">
        <v>44208</v>
      </c>
      <c r="B331">
        <v>500</v>
      </c>
      <c r="C331">
        <v>501.08999633789063</v>
      </c>
      <c r="D331">
        <v>485.67001342773438</v>
      </c>
      <c r="E331">
        <v>494.25</v>
      </c>
      <c r="F331">
        <v>494.25</v>
      </c>
      <c r="G331">
        <v>5990400</v>
      </c>
      <c r="I331" s="5">
        <f t="shared" si="16"/>
        <v>-9.765026653880772E-3</v>
      </c>
      <c r="K331" s="5">
        <f t="shared" si="17"/>
        <v>329</v>
      </c>
      <c r="L331" s="5">
        <v>-1.1501274533193561E-2</v>
      </c>
    </row>
    <row r="332" spans="1:12" x14ac:dyDescent="0.25">
      <c r="A332" s="1">
        <v>44209</v>
      </c>
      <c r="B332">
        <v>495.5</v>
      </c>
      <c r="C332">
        <v>512.3499755859375</v>
      </c>
      <c r="D332">
        <v>493.010009765625</v>
      </c>
      <c r="E332">
        <v>507.79000854492188</v>
      </c>
      <c r="F332">
        <v>507.79000854492188</v>
      </c>
      <c r="G332">
        <v>5032100</v>
      </c>
      <c r="I332" s="5">
        <f t="shared" si="16"/>
        <v>2.7026531061176813E-2</v>
      </c>
      <c r="K332" s="5">
        <f t="shared" si="17"/>
        <v>330</v>
      </c>
      <c r="L332" s="5">
        <v>-1.1474735279444514E-2</v>
      </c>
    </row>
    <row r="333" spans="1:12" x14ac:dyDescent="0.25">
      <c r="A333" s="1">
        <v>44210</v>
      </c>
      <c r="B333">
        <v>507.35000610351563</v>
      </c>
      <c r="C333">
        <v>514.5</v>
      </c>
      <c r="D333">
        <v>499.57998657226563</v>
      </c>
      <c r="E333">
        <v>500.8599853515625</v>
      </c>
      <c r="F333">
        <v>500.8599853515625</v>
      </c>
      <c r="G333">
        <v>4177400</v>
      </c>
      <c r="I333" s="5">
        <f t="shared" si="16"/>
        <v>-1.3741401442318363E-2</v>
      </c>
      <c r="K333" s="5">
        <f t="shared" si="17"/>
        <v>331</v>
      </c>
      <c r="L333" s="5">
        <v>-1.1408912889870362E-2</v>
      </c>
    </row>
    <row r="334" spans="1:12" x14ac:dyDescent="0.25">
      <c r="A334" s="1">
        <v>44211</v>
      </c>
      <c r="B334">
        <v>500</v>
      </c>
      <c r="C334">
        <v>506.32000732421875</v>
      </c>
      <c r="D334">
        <v>495.10000610351563</v>
      </c>
      <c r="E334">
        <v>497.98001098632813</v>
      </c>
      <c r="F334">
        <v>497.98001098632813</v>
      </c>
      <c r="G334">
        <v>5895800</v>
      </c>
      <c r="I334" s="5">
        <f t="shared" si="16"/>
        <v>-5.766654032176694E-3</v>
      </c>
      <c r="K334" s="5">
        <f t="shared" si="17"/>
        <v>332</v>
      </c>
      <c r="L334" s="5">
        <v>-1.1361964174496369E-2</v>
      </c>
    </row>
    <row r="335" spans="1:12" x14ac:dyDescent="0.25">
      <c r="A335" s="1">
        <v>44215</v>
      </c>
      <c r="B335">
        <v>501</v>
      </c>
      <c r="C335">
        <v>509.25</v>
      </c>
      <c r="D335">
        <v>493.54000854492188</v>
      </c>
      <c r="E335">
        <v>501.76998901367188</v>
      </c>
      <c r="F335">
        <v>501.76998901367188</v>
      </c>
      <c r="G335">
        <v>12315800</v>
      </c>
      <c r="I335" s="5">
        <f t="shared" si="16"/>
        <v>7.5818878377746056E-3</v>
      </c>
      <c r="K335" s="5">
        <f t="shared" si="17"/>
        <v>333</v>
      </c>
      <c r="L335" s="5">
        <v>-1.1343368772801794E-2</v>
      </c>
    </row>
    <row r="336" spans="1:12" x14ac:dyDescent="0.25">
      <c r="A336" s="1">
        <v>44216</v>
      </c>
      <c r="B336">
        <v>565.41998291015625</v>
      </c>
      <c r="C336">
        <v>593.28997802734375</v>
      </c>
      <c r="D336">
        <v>556.8599853515625</v>
      </c>
      <c r="E336">
        <v>586.34002685546875</v>
      </c>
      <c r="F336">
        <v>586.34002685546875</v>
      </c>
      <c r="G336">
        <v>32637500</v>
      </c>
      <c r="I336" s="5">
        <f t="shared" si="16"/>
        <v>0.15575804642814195</v>
      </c>
      <c r="K336" s="5">
        <f t="shared" si="17"/>
        <v>334</v>
      </c>
      <c r="L336" s="5">
        <v>-1.1300506654763702E-2</v>
      </c>
    </row>
    <row r="337" spans="1:12" x14ac:dyDescent="0.25">
      <c r="A337" s="1">
        <v>44217</v>
      </c>
      <c r="B337">
        <v>582.45001220703125</v>
      </c>
      <c r="C337">
        <v>588.75</v>
      </c>
      <c r="D337">
        <v>570.4000244140625</v>
      </c>
      <c r="E337">
        <v>579.84002685546875</v>
      </c>
      <c r="F337">
        <v>579.84002685546875</v>
      </c>
      <c r="G337">
        <v>11802100</v>
      </c>
      <c r="I337" s="5">
        <f t="shared" si="16"/>
        <v>-1.1147622173457002E-2</v>
      </c>
      <c r="K337" s="5">
        <f t="shared" si="17"/>
        <v>335</v>
      </c>
      <c r="L337" s="5">
        <v>-1.1290646973462926E-2</v>
      </c>
    </row>
    <row r="338" spans="1:12" x14ac:dyDescent="0.25">
      <c r="A338" s="1">
        <v>44218</v>
      </c>
      <c r="B338">
        <v>582.0999755859375</v>
      </c>
      <c r="C338">
        <v>583.989990234375</v>
      </c>
      <c r="D338">
        <v>564.3499755859375</v>
      </c>
      <c r="E338">
        <v>565.16998291015625</v>
      </c>
      <c r="F338">
        <v>565.16998291015625</v>
      </c>
      <c r="G338">
        <v>7550800</v>
      </c>
      <c r="I338" s="5">
        <f t="shared" si="16"/>
        <v>-2.5625709122888293E-2</v>
      </c>
      <c r="K338" s="5">
        <f t="shared" si="17"/>
        <v>336</v>
      </c>
      <c r="L338" s="5">
        <v>-1.1270149233418051E-2</v>
      </c>
    </row>
    <row r="339" spans="1:12" x14ac:dyDescent="0.25">
      <c r="A339" s="1">
        <v>44221</v>
      </c>
      <c r="B339">
        <v>567</v>
      </c>
      <c r="C339">
        <v>569.75</v>
      </c>
      <c r="D339">
        <v>548.6500244140625</v>
      </c>
      <c r="E339">
        <v>556.780029296875</v>
      </c>
      <c r="F339">
        <v>556.780029296875</v>
      </c>
      <c r="G339">
        <v>7207300</v>
      </c>
      <c r="I339" s="5">
        <f t="shared" si="16"/>
        <v>-1.4956299153718952E-2</v>
      </c>
      <c r="K339" s="5">
        <f t="shared" si="17"/>
        <v>337</v>
      </c>
      <c r="L339" s="5">
        <v>-1.1147622173457002E-2</v>
      </c>
    </row>
    <row r="340" spans="1:12" x14ac:dyDescent="0.25">
      <c r="A340" s="1">
        <v>44222</v>
      </c>
      <c r="B340">
        <v>554.72998046875</v>
      </c>
      <c r="C340">
        <v>567.989990234375</v>
      </c>
      <c r="D340">
        <v>554.05999755859375</v>
      </c>
      <c r="E340">
        <v>561.92999267578125</v>
      </c>
      <c r="F340">
        <v>561.92999267578125</v>
      </c>
      <c r="G340">
        <v>5023800</v>
      </c>
      <c r="I340" s="5">
        <f t="shared" si="16"/>
        <v>9.2070324886088153E-3</v>
      </c>
      <c r="K340" s="5">
        <f t="shared" si="17"/>
        <v>338</v>
      </c>
      <c r="L340" s="5">
        <v>-1.1056149014927673E-2</v>
      </c>
    </row>
    <row r="341" spans="1:12" x14ac:dyDescent="0.25">
      <c r="A341" s="1">
        <v>44223</v>
      </c>
      <c r="B341">
        <v>550.71002197265625</v>
      </c>
      <c r="C341">
        <v>556.41998291015625</v>
      </c>
      <c r="D341">
        <v>515.72998046875</v>
      </c>
      <c r="E341">
        <v>523.280029296875</v>
      </c>
      <c r="F341">
        <v>523.280029296875</v>
      </c>
      <c r="G341">
        <v>8670300</v>
      </c>
      <c r="I341" s="5">
        <f t="shared" si="16"/>
        <v>-7.1260524301918107E-2</v>
      </c>
      <c r="K341" s="5">
        <f t="shared" si="17"/>
        <v>339</v>
      </c>
      <c r="L341" s="5">
        <v>-1.0968634532471159E-2</v>
      </c>
    </row>
    <row r="342" spans="1:12" x14ac:dyDescent="0.25">
      <c r="A342" s="1">
        <v>44224</v>
      </c>
      <c r="B342">
        <v>535.8800048828125</v>
      </c>
      <c r="C342">
        <v>553.1500244140625</v>
      </c>
      <c r="D342">
        <v>530.739990234375</v>
      </c>
      <c r="E342">
        <v>538.5999755859375</v>
      </c>
      <c r="F342">
        <v>538.5999755859375</v>
      </c>
      <c r="G342">
        <v>5969000</v>
      </c>
      <c r="I342" s="5">
        <f t="shared" si="16"/>
        <v>2.8856385408800547E-2</v>
      </c>
      <c r="K342" s="5">
        <f t="shared" si="17"/>
        <v>340</v>
      </c>
      <c r="L342" s="5">
        <v>-1.0930501901437423E-2</v>
      </c>
    </row>
    <row r="343" spans="1:12" x14ac:dyDescent="0.25">
      <c r="A343" s="1">
        <v>44225</v>
      </c>
      <c r="B343">
        <v>538</v>
      </c>
      <c r="C343">
        <v>541</v>
      </c>
      <c r="D343">
        <v>530.17999267578125</v>
      </c>
      <c r="E343">
        <v>532.3900146484375</v>
      </c>
      <c r="F343">
        <v>532.3900146484375</v>
      </c>
      <c r="G343">
        <v>4325300</v>
      </c>
      <c r="I343" s="5">
        <f t="shared" si="16"/>
        <v>-1.159680405973181E-2</v>
      </c>
      <c r="K343" s="5">
        <f t="shared" si="17"/>
        <v>341</v>
      </c>
      <c r="L343" s="5">
        <v>-1.0926901602111056E-2</v>
      </c>
    </row>
    <row r="344" spans="1:12" x14ac:dyDescent="0.25">
      <c r="A344" s="1">
        <v>44228</v>
      </c>
      <c r="B344">
        <v>536.78997802734375</v>
      </c>
      <c r="C344">
        <v>545.05999755859375</v>
      </c>
      <c r="D344">
        <v>531.72998046875</v>
      </c>
      <c r="E344">
        <v>539.03997802734375</v>
      </c>
      <c r="F344">
        <v>539.03997802734375</v>
      </c>
      <c r="G344">
        <v>3547500</v>
      </c>
      <c r="I344" s="5">
        <f t="shared" si="16"/>
        <v>1.2413407906651084E-2</v>
      </c>
      <c r="K344" s="5">
        <f t="shared" si="17"/>
        <v>342</v>
      </c>
      <c r="L344" s="5">
        <v>-1.0853902306471727E-2</v>
      </c>
    </row>
    <row r="345" spans="1:12" x14ac:dyDescent="0.25">
      <c r="A345" s="1">
        <v>44229</v>
      </c>
      <c r="B345">
        <v>542.010009765625</v>
      </c>
      <c r="C345">
        <v>555.47998046875</v>
      </c>
      <c r="D345">
        <v>538.92999267578125</v>
      </c>
      <c r="E345">
        <v>548.15997314453125</v>
      </c>
      <c r="F345">
        <v>548.15997314453125</v>
      </c>
      <c r="G345">
        <v>3767600</v>
      </c>
      <c r="I345" s="5">
        <f t="shared" si="16"/>
        <v>1.6777427248057305E-2</v>
      </c>
      <c r="K345" s="5">
        <f t="shared" si="17"/>
        <v>343</v>
      </c>
      <c r="L345" s="5">
        <v>-1.0716131738585242E-2</v>
      </c>
    </row>
    <row r="346" spans="1:12" x14ac:dyDescent="0.25">
      <c r="A346" s="1">
        <v>44230</v>
      </c>
      <c r="B346">
        <v>550.16998291015625</v>
      </c>
      <c r="C346">
        <v>550.47998046875</v>
      </c>
      <c r="D346">
        <v>538.239990234375</v>
      </c>
      <c r="E346">
        <v>539.45001220703125</v>
      </c>
      <c r="F346">
        <v>539.45001220703125</v>
      </c>
      <c r="G346">
        <v>3172300</v>
      </c>
      <c r="I346" s="5">
        <f t="shared" si="16"/>
        <v>-1.6017041517718277E-2</v>
      </c>
      <c r="K346" s="5">
        <f t="shared" si="17"/>
        <v>344</v>
      </c>
      <c r="L346" s="5">
        <v>-1.0703110991537536E-2</v>
      </c>
    </row>
    <row r="347" spans="1:12" x14ac:dyDescent="0.25">
      <c r="A347" s="1">
        <v>44231</v>
      </c>
      <c r="B347">
        <v>539.80999755859375</v>
      </c>
      <c r="C347">
        <v>559.47998046875</v>
      </c>
      <c r="D347">
        <v>537.510009765625</v>
      </c>
      <c r="E347">
        <v>552.15997314453125</v>
      </c>
      <c r="F347">
        <v>552.15997314453125</v>
      </c>
      <c r="G347">
        <v>5164500</v>
      </c>
      <c r="I347" s="5">
        <f t="shared" si="16"/>
        <v>2.3287686086568376E-2</v>
      </c>
      <c r="K347" s="5">
        <f t="shared" si="17"/>
        <v>345</v>
      </c>
      <c r="L347" s="5">
        <v>-1.0699517348460268E-2</v>
      </c>
    </row>
    <row r="348" spans="1:12" x14ac:dyDescent="0.25">
      <c r="A348" s="1">
        <v>44232</v>
      </c>
      <c r="B348">
        <v>552.260009765625</v>
      </c>
      <c r="C348">
        <v>554.44000244140625</v>
      </c>
      <c r="D348">
        <v>545.47998046875</v>
      </c>
      <c r="E348">
        <v>550.78997802734375</v>
      </c>
      <c r="F348">
        <v>550.78997802734375</v>
      </c>
      <c r="G348">
        <v>2376200</v>
      </c>
      <c r="I348" s="5">
        <f t="shared" si="16"/>
        <v>-2.4842393261863428E-3</v>
      </c>
      <c r="K348" s="5">
        <f t="shared" si="17"/>
        <v>346</v>
      </c>
      <c r="L348" s="5">
        <v>-1.068908132062577E-2</v>
      </c>
    </row>
    <row r="349" spans="1:12" x14ac:dyDescent="0.25">
      <c r="A349" s="1">
        <v>44235</v>
      </c>
      <c r="B349">
        <v>555</v>
      </c>
      <c r="C349">
        <v>555</v>
      </c>
      <c r="D349">
        <v>543.70001220703125</v>
      </c>
      <c r="E349">
        <v>547.91998291015625</v>
      </c>
      <c r="F349">
        <v>547.91998291015625</v>
      </c>
      <c r="G349">
        <v>2791700</v>
      </c>
      <c r="I349" s="5">
        <f t="shared" si="16"/>
        <v>-5.2243116871423037E-3</v>
      </c>
      <c r="K349" s="5">
        <f t="shared" si="17"/>
        <v>347</v>
      </c>
      <c r="L349" s="5">
        <v>-1.0668050062444506E-2</v>
      </c>
    </row>
    <row r="350" spans="1:12" x14ac:dyDescent="0.25">
      <c r="A350" s="1">
        <v>44236</v>
      </c>
      <c r="B350">
        <v>546</v>
      </c>
      <c r="C350">
        <v>566</v>
      </c>
      <c r="D350">
        <v>543</v>
      </c>
      <c r="E350">
        <v>559.07000732421875</v>
      </c>
      <c r="F350">
        <v>559.07000732421875</v>
      </c>
      <c r="G350">
        <v>3703500</v>
      </c>
      <c r="I350" s="5">
        <f t="shared" si="16"/>
        <v>2.0145442330341462E-2</v>
      </c>
      <c r="K350" s="5">
        <f t="shared" si="17"/>
        <v>348</v>
      </c>
      <c r="L350" s="5">
        <v>-1.0590487826758347E-2</v>
      </c>
    </row>
    <row r="351" spans="1:12" x14ac:dyDescent="0.25">
      <c r="A351" s="1">
        <v>44237</v>
      </c>
      <c r="B351">
        <v>562.5</v>
      </c>
      <c r="C351">
        <v>566.6500244140625</v>
      </c>
      <c r="D351">
        <v>553.46002197265625</v>
      </c>
      <c r="E351">
        <v>563.59002685546875</v>
      </c>
      <c r="F351">
        <v>563.59002685546875</v>
      </c>
      <c r="G351">
        <v>3991300</v>
      </c>
      <c r="I351" s="5">
        <f t="shared" si="16"/>
        <v>8.0523824080428533E-3</v>
      </c>
      <c r="K351" s="5">
        <f t="shared" si="17"/>
        <v>349</v>
      </c>
      <c r="L351" s="5">
        <v>-1.0588594775748297E-2</v>
      </c>
    </row>
    <row r="352" spans="1:12" x14ac:dyDescent="0.25">
      <c r="A352" s="1">
        <v>44238</v>
      </c>
      <c r="B352">
        <v>564.44000244140625</v>
      </c>
      <c r="C352">
        <v>565.92999267578125</v>
      </c>
      <c r="D352">
        <v>554.219970703125</v>
      </c>
      <c r="E352">
        <v>557.59002685546875</v>
      </c>
      <c r="F352">
        <v>557.59002685546875</v>
      </c>
      <c r="G352">
        <v>2730600</v>
      </c>
      <c r="I352" s="5">
        <f t="shared" si="16"/>
        <v>-1.0703110991537536E-2</v>
      </c>
      <c r="K352" s="5">
        <f t="shared" si="17"/>
        <v>350</v>
      </c>
      <c r="L352" s="5">
        <v>-1.0587645232271478E-2</v>
      </c>
    </row>
    <row r="353" spans="1:12" x14ac:dyDescent="0.25">
      <c r="A353" s="1">
        <v>44239</v>
      </c>
      <c r="B353">
        <v>556.94000244140625</v>
      </c>
      <c r="C353">
        <v>561.25</v>
      </c>
      <c r="D353">
        <v>550.8499755859375</v>
      </c>
      <c r="E353">
        <v>556.52001953125</v>
      </c>
      <c r="F353">
        <v>556.52001953125</v>
      </c>
      <c r="G353">
        <v>2197100</v>
      </c>
      <c r="I353" s="5">
        <f t="shared" si="16"/>
        <v>-1.9208293770965517E-3</v>
      </c>
      <c r="K353" s="5">
        <f t="shared" si="17"/>
        <v>351</v>
      </c>
      <c r="L353" s="5">
        <v>-1.0542028741996088E-2</v>
      </c>
    </row>
    <row r="354" spans="1:12" x14ac:dyDescent="0.25">
      <c r="A354" s="1">
        <v>44243</v>
      </c>
      <c r="B354">
        <v>557.28997802734375</v>
      </c>
      <c r="C354">
        <v>563.6300048828125</v>
      </c>
      <c r="D354">
        <v>552.72998046875</v>
      </c>
      <c r="E354">
        <v>557.280029296875</v>
      </c>
      <c r="F354">
        <v>557.280029296875</v>
      </c>
      <c r="G354">
        <v>2624100</v>
      </c>
      <c r="I354" s="5">
        <f t="shared" si="16"/>
        <v>1.3647151198838449E-3</v>
      </c>
      <c r="K354" s="5">
        <f t="shared" si="17"/>
        <v>352</v>
      </c>
      <c r="L354" s="5">
        <v>-1.0466845129181841E-2</v>
      </c>
    </row>
    <row r="355" spans="1:12" x14ac:dyDescent="0.25">
      <c r="A355" s="1">
        <v>44244</v>
      </c>
      <c r="B355">
        <v>550.989990234375</v>
      </c>
      <c r="C355">
        <v>555.25</v>
      </c>
      <c r="D355">
        <v>543.030029296875</v>
      </c>
      <c r="E355">
        <v>551.34002685546875</v>
      </c>
      <c r="F355">
        <v>551.34002685546875</v>
      </c>
      <c r="G355">
        <v>2069600</v>
      </c>
      <c r="I355" s="5">
        <f t="shared" si="16"/>
        <v>-1.0716131738585242E-2</v>
      </c>
      <c r="K355" s="5">
        <f t="shared" si="17"/>
        <v>353</v>
      </c>
      <c r="L355" s="5">
        <v>-1.0419969276425557E-2</v>
      </c>
    </row>
    <row r="356" spans="1:12" x14ac:dyDescent="0.25">
      <c r="A356" s="1">
        <v>44245</v>
      </c>
      <c r="B356">
        <v>549</v>
      </c>
      <c r="C356">
        <v>550</v>
      </c>
      <c r="D356">
        <v>538.22998046875</v>
      </c>
      <c r="E356">
        <v>548.219970703125</v>
      </c>
      <c r="F356">
        <v>548.219970703125</v>
      </c>
      <c r="G356">
        <v>2456200</v>
      </c>
      <c r="I356" s="5">
        <f t="shared" si="16"/>
        <v>-5.6751146517124264E-3</v>
      </c>
      <c r="K356" s="5">
        <f t="shared" si="17"/>
        <v>354</v>
      </c>
      <c r="L356" s="5">
        <v>-1.0388995415292101E-2</v>
      </c>
    </row>
    <row r="357" spans="1:12" x14ac:dyDescent="0.25">
      <c r="A357" s="1">
        <v>44246</v>
      </c>
      <c r="B357">
        <v>548</v>
      </c>
      <c r="C357">
        <v>548.989990234375</v>
      </c>
      <c r="D357">
        <v>538.80999755859375</v>
      </c>
      <c r="E357">
        <v>540.219970703125</v>
      </c>
      <c r="F357">
        <v>540.219970703125</v>
      </c>
      <c r="G357">
        <v>2841500</v>
      </c>
      <c r="I357" s="5">
        <f t="shared" si="16"/>
        <v>-1.4700203032102087E-2</v>
      </c>
      <c r="K357" s="5">
        <f t="shared" si="17"/>
        <v>355</v>
      </c>
      <c r="L357" s="5">
        <v>-1.0273086798227162E-2</v>
      </c>
    </row>
    <row r="358" spans="1:12" x14ac:dyDescent="0.25">
      <c r="A358" s="1">
        <v>44249</v>
      </c>
      <c r="B358">
        <v>534.989990234375</v>
      </c>
      <c r="C358">
        <v>541.78997802734375</v>
      </c>
      <c r="D358">
        <v>530.78997802734375</v>
      </c>
      <c r="E358">
        <v>533.780029296875</v>
      </c>
      <c r="F358">
        <v>533.780029296875</v>
      </c>
      <c r="G358">
        <v>3078600</v>
      </c>
      <c r="I358" s="5">
        <f t="shared" si="16"/>
        <v>-1.199258582848736E-2</v>
      </c>
      <c r="K358" s="5">
        <f t="shared" si="17"/>
        <v>356</v>
      </c>
      <c r="L358" s="5">
        <v>-1.0226510776331275E-2</v>
      </c>
    </row>
    <row r="359" spans="1:12" x14ac:dyDescent="0.25">
      <c r="A359" s="1">
        <v>44250</v>
      </c>
      <c r="B359">
        <v>525</v>
      </c>
      <c r="C359">
        <v>548.53997802734375</v>
      </c>
      <c r="D359">
        <v>518.280029296875</v>
      </c>
      <c r="E359">
        <v>546.1500244140625</v>
      </c>
      <c r="F359">
        <v>546.1500244140625</v>
      </c>
      <c r="G359">
        <v>4136500</v>
      </c>
      <c r="I359" s="5">
        <f t="shared" si="16"/>
        <v>2.2909884053673918E-2</v>
      </c>
      <c r="K359" s="5">
        <f t="shared" si="17"/>
        <v>357</v>
      </c>
      <c r="L359" s="5">
        <v>-1.0156881660412488E-2</v>
      </c>
    </row>
    <row r="360" spans="1:12" x14ac:dyDescent="0.25">
      <c r="A360" s="1">
        <v>44251</v>
      </c>
      <c r="B360">
        <v>539.79998779296875</v>
      </c>
      <c r="C360">
        <v>556.8499755859375</v>
      </c>
      <c r="D360">
        <v>539.07000732421875</v>
      </c>
      <c r="E360">
        <v>553.40997314453125</v>
      </c>
      <c r="F360">
        <v>553.40997314453125</v>
      </c>
      <c r="G360">
        <v>3245000</v>
      </c>
      <c r="I360" s="5">
        <f t="shared" si="16"/>
        <v>1.3205380782670077E-2</v>
      </c>
      <c r="K360" s="5">
        <f t="shared" si="17"/>
        <v>358</v>
      </c>
      <c r="L360" s="5">
        <v>-1.0132714905679803E-2</v>
      </c>
    </row>
    <row r="361" spans="1:12" x14ac:dyDescent="0.25">
      <c r="A361" s="1">
        <v>44252</v>
      </c>
      <c r="B361">
        <v>550.27001953125</v>
      </c>
      <c r="C361">
        <v>556.47998046875</v>
      </c>
      <c r="D361">
        <v>535.75</v>
      </c>
      <c r="E361">
        <v>546.70001220703125</v>
      </c>
      <c r="F361">
        <v>546.70001220703125</v>
      </c>
      <c r="G361">
        <v>4252900</v>
      </c>
      <c r="I361" s="5">
        <f t="shared" si="16"/>
        <v>-1.2198860544813448E-2</v>
      </c>
      <c r="K361" s="5">
        <f t="shared" si="17"/>
        <v>359</v>
      </c>
      <c r="L361" s="5">
        <v>-1.0044547834698188E-2</v>
      </c>
    </row>
    <row r="362" spans="1:12" x14ac:dyDescent="0.25">
      <c r="A362" s="1">
        <v>44253</v>
      </c>
      <c r="B362">
        <v>546.510009765625</v>
      </c>
      <c r="C362">
        <v>553.09002685546875</v>
      </c>
      <c r="D362">
        <v>538</v>
      </c>
      <c r="E362">
        <v>538.8499755859375</v>
      </c>
      <c r="F362">
        <v>538.8499755859375</v>
      </c>
      <c r="G362">
        <v>3755600</v>
      </c>
      <c r="I362" s="5">
        <f t="shared" si="16"/>
        <v>-1.4463034494402918E-2</v>
      </c>
      <c r="K362" s="5">
        <f t="shared" si="17"/>
        <v>360</v>
      </c>
      <c r="L362" s="5">
        <v>-1.0036609760484632E-2</v>
      </c>
    </row>
    <row r="363" spans="1:12" x14ac:dyDescent="0.25">
      <c r="A363" s="1">
        <v>44256</v>
      </c>
      <c r="B363">
        <v>545.57000732421875</v>
      </c>
      <c r="C363">
        <v>552.1400146484375</v>
      </c>
      <c r="D363">
        <v>542</v>
      </c>
      <c r="E363">
        <v>550.6400146484375</v>
      </c>
      <c r="F363">
        <v>550.6400146484375</v>
      </c>
      <c r="G363">
        <v>3041400</v>
      </c>
      <c r="I363" s="5">
        <f t="shared" si="16"/>
        <v>2.1644070957551255E-2</v>
      </c>
      <c r="K363" s="5">
        <f t="shared" si="17"/>
        <v>361</v>
      </c>
      <c r="L363" s="5">
        <v>-9.9650972370118902E-3</v>
      </c>
    </row>
    <row r="364" spans="1:12" x14ac:dyDescent="0.25">
      <c r="A364" s="1">
        <v>44257</v>
      </c>
      <c r="B364">
        <v>553.34002685546875</v>
      </c>
      <c r="C364">
        <v>556.989990234375</v>
      </c>
      <c r="D364">
        <v>546.02001953125</v>
      </c>
      <c r="E364">
        <v>547.82000732421875</v>
      </c>
      <c r="F364">
        <v>547.82000732421875</v>
      </c>
      <c r="G364">
        <v>3042200</v>
      </c>
      <c r="I364" s="5">
        <f t="shared" si="16"/>
        <v>-5.1344854853415537E-3</v>
      </c>
      <c r="K364" s="5">
        <f t="shared" si="17"/>
        <v>362</v>
      </c>
      <c r="L364" s="5">
        <v>-9.9144808982713183E-3</v>
      </c>
    </row>
    <row r="365" spans="1:12" x14ac:dyDescent="0.25">
      <c r="A365" s="1">
        <v>44258</v>
      </c>
      <c r="B365">
        <v>545.92999267578125</v>
      </c>
      <c r="C365">
        <v>548.010009765625</v>
      </c>
      <c r="D365">
        <v>517.80999755859375</v>
      </c>
      <c r="E365">
        <v>520.70001220703125</v>
      </c>
      <c r="F365">
        <v>520.70001220703125</v>
      </c>
      <c r="G365">
        <v>5362400</v>
      </c>
      <c r="I365" s="5">
        <f t="shared" si="16"/>
        <v>-5.0772695594979156E-2</v>
      </c>
      <c r="K365" s="5">
        <f t="shared" si="17"/>
        <v>363</v>
      </c>
      <c r="L365" s="5">
        <v>-9.8395523388810097E-3</v>
      </c>
    </row>
    <row r="366" spans="1:12" x14ac:dyDescent="0.25">
      <c r="A366" s="1">
        <v>44259</v>
      </c>
      <c r="B366">
        <v>521.5</v>
      </c>
      <c r="C366">
        <v>531.5</v>
      </c>
      <c r="D366">
        <v>507.67999267578125</v>
      </c>
      <c r="E366">
        <v>511.29000854492188</v>
      </c>
      <c r="F366">
        <v>511.29000854492188</v>
      </c>
      <c r="G366">
        <v>5034800</v>
      </c>
      <c r="I366" s="5">
        <f t="shared" si="16"/>
        <v>-1.8237122994623819E-2</v>
      </c>
      <c r="K366" s="5">
        <f t="shared" si="17"/>
        <v>364</v>
      </c>
      <c r="L366" s="5">
        <v>-9.7721988105026903E-3</v>
      </c>
    </row>
    <row r="367" spans="1:12" x14ac:dyDescent="0.25">
      <c r="A367" s="1">
        <v>44260</v>
      </c>
      <c r="B367">
        <v>511.98001098632813</v>
      </c>
      <c r="C367">
        <v>517.760009765625</v>
      </c>
      <c r="D367">
        <v>498.79000854492188</v>
      </c>
      <c r="E367">
        <v>516.3900146484375</v>
      </c>
      <c r="F367">
        <v>516.3900146484375</v>
      </c>
      <c r="G367">
        <v>5070000</v>
      </c>
      <c r="I367" s="5">
        <f t="shared" si="16"/>
        <v>9.9253617007974883E-3</v>
      </c>
      <c r="K367" s="5">
        <f t="shared" si="17"/>
        <v>365</v>
      </c>
      <c r="L367" s="5">
        <v>-9.765026653880772E-3</v>
      </c>
    </row>
    <row r="368" spans="1:12" x14ac:dyDescent="0.25">
      <c r="A368" s="1">
        <v>44263</v>
      </c>
      <c r="B368">
        <v>514.46002197265625</v>
      </c>
      <c r="C368">
        <v>518.84002685546875</v>
      </c>
      <c r="D368">
        <v>492.85000610351563</v>
      </c>
      <c r="E368">
        <v>493.32998657226563</v>
      </c>
      <c r="F368">
        <v>493.32998657226563</v>
      </c>
      <c r="G368">
        <v>3981800</v>
      </c>
      <c r="I368" s="5">
        <f t="shared" si="16"/>
        <v>-4.5684028226625796E-2</v>
      </c>
      <c r="K368" s="5">
        <f t="shared" si="17"/>
        <v>366</v>
      </c>
      <c r="L368" s="5">
        <v>-9.7496123496683545E-3</v>
      </c>
    </row>
    <row r="369" spans="1:12" x14ac:dyDescent="0.25">
      <c r="A369" s="1">
        <v>44264</v>
      </c>
      <c r="B369">
        <v>507.30999755859375</v>
      </c>
      <c r="C369">
        <v>513.1099853515625</v>
      </c>
      <c r="D369">
        <v>503.82000732421875</v>
      </c>
      <c r="E369">
        <v>506.44000244140625</v>
      </c>
      <c r="F369">
        <v>506.44000244140625</v>
      </c>
      <c r="G369">
        <v>3470000</v>
      </c>
      <c r="I369" s="5">
        <f t="shared" si="16"/>
        <v>2.6227567380871574E-2</v>
      </c>
      <c r="K369" s="5">
        <f t="shared" si="17"/>
        <v>367</v>
      </c>
      <c r="L369" s="5">
        <v>-9.7446719318680514E-3</v>
      </c>
    </row>
    <row r="370" spans="1:12" x14ac:dyDescent="0.25">
      <c r="A370" s="1">
        <v>44265</v>
      </c>
      <c r="B370">
        <v>513.5</v>
      </c>
      <c r="C370">
        <v>518.969970703125</v>
      </c>
      <c r="D370">
        <v>504.25</v>
      </c>
      <c r="E370">
        <v>504.54000854492188</v>
      </c>
      <c r="F370">
        <v>504.54000854492188</v>
      </c>
      <c r="G370">
        <v>3771500</v>
      </c>
      <c r="I370" s="5">
        <f t="shared" si="16"/>
        <v>-3.7587214638483261E-3</v>
      </c>
      <c r="K370" s="5">
        <f t="shared" si="17"/>
        <v>368</v>
      </c>
      <c r="L370" s="5">
        <v>-9.7310851480844323E-3</v>
      </c>
    </row>
    <row r="371" spans="1:12" x14ac:dyDescent="0.25">
      <c r="A371" s="1">
        <v>44266</v>
      </c>
      <c r="B371">
        <v>512.20001220703125</v>
      </c>
      <c r="C371">
        <v>530.239990234375</v>
      </c>
      <c r="D371">
        <v>510.70999145507813</v>
      </c>
      <c r="E371">
        <v>523.05999755859375</v>
      </c>
      <c r="F371">
        <v>523.05999755859375</v>
      </c>
      <c r="G371">
        <v>4714500</v>
      </c>
      <c r="I371" s="5">
        <f t="shared" si="16"/>
        <v>3.6049035561646126E-2</v>
      </c>
      <c r="K371" s="5">
        <f t="shared" si="17"/>
        <v>369</v>
      </c>
      <c r="L371" s="5">
        <v>-9.682286314167678E-3</v>
      </c>
    </row>
    <row r="372" spans="1:12" x14ac:dyDescent="0.25">
      <c r="A372" s="1">
        <v>44267</v>
      </c>
      <c r="B372">
        <v>512.5</v>
      </c>
      <c r="C372">
        <v>526.510009765625</v>
      </c>
      <c r="D372">
        <v>506.58999633789063</v>
      </c>
      <c r="E372">
        <v>518.02001953125</v>
      </c>
      <c r="F372">
        <v>518.02001953125</v>
      </c>
      <c r="G372">
        <v>3981700</v>
      </c>
      <c r="I372" s="5">
        <f t="shared" si="16"/>
        <v>-9.682286314167678E-3</v>
      </c>
      <c r="K372" s="5">
        <f t="shared" si="17"/>
        <v>370</v>
      </c>
      <c r="L372" s="5">
        <v>-9.6320854803320869E-3</v>
      </c>
    </row>
    <row r="373" spans="1:12" x14ac:dyDescent="0.25">
      <c r="A373" s="1">
        <v>44270</v>
      </c>
      <c r="B373">
        <v>516.32000732421875</v>
      </c>
      <c r="C373">
        <v>520.72998046875</v>
      </c>
      <c r="D373">
        <v>508.02999877929688</v>
      </c>
      <c r="E373">
        <v>520.25</v>
      </c>
      <c r="F373">
        <v>520.25</v>
      </c>
      <c r="G373">
        <v>3484300</v>
      </c>
      <c r="I373" s="5">
        <f t="shared" si="16"/>
        <v>4.2955760173396234E-3</v>
      </c>
      <c r="K373" s="5">
        <f t="shared" si="17"/>
        <v>371</v>
      </c>
      <c r="L373" s="5">
        <v>-9.5833554406695078E-3</v>
      </c>
    </row>
    <row r="374" spans="1:12" x14ac:dyDescent="0.25">
      <c r="A374" s="1">
        <v>44271</v>
      </c>
      <c r="B374">
        <v>524.469970703125</v>
      </c>
      <c r="C374">
        <v>533.41998291015625</v>
      </c>
      <c r="D374">
        <v>523.21002197265625</v>
      </c>
      <c r="E374">
        <v>524.030029296875</v>
      </c>
      <c r="F374">
        <v>524.030029296875</v>
      </c>
      <c r="G374">
        <v>3238900</v>
      </c>
      <c r="I374" s="5">
        <f t="shared" si="16"/>
        <v>7.2395252237318908E-3</v>
      </c>
      <c r="K374" s="5">
        <f t="shared" si="17"/>
        <v>372</v>
      </c>
      <c r="L374" s="5">
        <v>-9.5078447909973593E-3</v>
      </c>
    </row>
    <row r="375" spans="1:12" x14ac:dyDescent="0.25">
      <c r="A375" s="1">
        <v>44272</v>
      </c>
      <c r="B375">
        <v>522</v>
      </c>
      <c r="C375">
        <v>528.3699951171875</v>
      </c>
      <c r="D375">
        <v>514.29998779296875</v>
      </c>
      <c r="E375">
        <v>524.44000244140625</v>
      </c>
      <c r="F375">
        <v>524.44000244140625</v>
      </c>
      <c r="G375">
        <v>2817400</v>
      </c>
      <c r="I375" s="5">
        <f t="shared" si="16"/>
        <v>7.8204078898860894E-4</v>
      </c>
      <c r="K375" s="5">
        <f t="shared" si="17"/>
        <v>373</v>
      </c>
      <c r="L375" s="5">
        <v>-9.4574241015781772E-3</v>
      </c>
    </row>
    <row r="376" spans="1:12" x14ac:dyDescent="0.25">
      <c r="A376" s="1">
        <v>44273</v>
      </c>
      <c r="B376">
        <v>516.4000244140625</v>
      </c>
      <c r="C376">
        <v>517.9000244140625</v>
      </c>
      <c r="D376">
        <v>503.85000610351563</v>
      </c>
      <c r="E376">
        <v>504.79000854492188</v>
      </c>
      <c r="F376">
        <v>504.79000854492188</v>
      </c>
      <c r="G376">
        <v>4094500</v>
      </c>
      <c r="I376" s="5">
        <f t="shared" si="16"/>
        <v>-3.8188513153675156E-2</v>
      </c>
      <c r="K376" s="5">
        <f t="shared" si="17"/>
        <v>374</v>
      </c>
      <c r="L376" s="5">
        <v>-9.4144832792857746E-3</v>
      </c>
    </row>
    <row r="377" spans="1:12" x14ac:dyDescent="0.25">
      <c r="A377" s="1">
        <v>44274</v>
      </c>
      <c r="B377">
        <v>504.95999145507813</v>
      </c>
      <c r="C377">
        <v>513.19000244140625</v>
      </c>
      <c r="D377">
        <v>501.6300048828125</v>
      </c>
      <c r="E377">
        <v>512.17999267578125</v>
      </c>
      <c r="F377">
        <v>512.17999267578125</v>
      </c>
      <c r="G377">
        <v>4386400</v>
      </c>
      <c r="I377" s="5">
        <f t="shared" si="16"/>
        <v>1.453359332301562E-2</v>
      </c>
      <c r="K377" s="5">
        <f t="shared" si="17"/>
        <v>375</v>
      </c>
      <c r="L377" s="5">
        <v>-9.369605304029192E-3</v>
      </c>
    </row>
    <row r="378" spans="1:12" x14ac:dyDescent="0.25">
      <c r="A378" s="1">
        <v>44277</v>
      </c>
      <c r="B378">
        <v>509.1300048828125</v>
      </c>
      <c r="C378">
        <v>529.30999755859375</v>
      </c>
      <c r="D378">
        <v>509.1300048828125</v>
      </c>
      <c r="E378">
        <v>523.1099853515625</v>
      </c>
      <c r="F378">
        <v>523.1099853515625</v>
      </c>
      <c r="G378">
        <v>3360600</v>
      </c>
      <c r="I378" s="5">
        <f t="shared" si="16"/>
        <v>2.1115627539111965E-2</v>
      </c>
      <c r="K378" s="5">
        <f t="shared" si="17"/>
        <v>376</v>
      </c>
      <c r="L378" s="5">
        <v>-9.3518427572750439E-3</v>
      </c>
    </row>
    <row r="379" spans="1:12" x14ac:dyDescent="0.25">
      <c r="A379" s="1">
        <v>44278</v>
      </c>
      <c r="B379">
        <v>529.8699951171875</v>
      </c>
      <c r="C379">
        <v>543.1199951171875</v>
      </c>
      <c r="D379">
        <v>529.4000244140625</v>
      </c>
      <c r="E379">
        <v>535.09002685546875</v>
      </c>
      <c r="F379">
        <v>535.09002685546875</v>
      </c>
      <c r="G379">
        <v>5583500</v>
      </c>
      <c r="I379" s="5">
        <f t="shared" si="16"/>
        <v>2.2643268240728282E-2</v>
      </c>
      <c r="K379" s="5">
        <f t="shared" si="17"/>
        <v>377</v>
      </c>
      <c r="L379" s="5">
        <v>-9.2901625481407023E-3</v>
      </c>
    </row>
    <row r="380" spans="1:12" x14ac:dyDescent="0.25">
      <c r="A380" s="1">
        <v>44279</v>
      </c>
      <c r="B380">
        <v>533.780029296875</v>
      </c>
      <c r="C380">
        <v>534.41998291015625</v>
      </c>
      <c r="D380">
        <v>520</v>
      </c>
      <c r="E380">
        <v>520.80999755859375</v>
      </c>
      <c r="F380">
        <v>520.80999755859375</v>
      </c>
      <c r="G380">
        <v>4102200</v>
      </c>
      <c r="I380" s="5">
        <f t="shared" si="16"/>
        <v>-2.7049719984457998E-2</v>
      </c>
      <c r="K380" s="5">
        <f t="shared" si="17"/>
        <v>378</v>
      </c>
      <c r="L380" s="5">
        <v>-9.1668070413380362E-3</v>
      </c>
    </row>
    <row r="381" spans="1:12" x14ac:dyDescent="0.25">
      <c r="A381" s="1">
        <v>44280</v>
      </c>
      <c r="B381">
        <v>516.989990234375</v>
      </c>
      <c r="C381">
        <v>518.530029296875</v>
      </c>
      <c r="D381">
        <v>497</v>
      </c>
      <c r="E381">
        <v>502.8599853515625</v>
      </c>
      <c r="F381">
        <v>502.8599853515625</v>
      </c>
      <c r="G381">
        <v>4926800</v>
      </c>
      <c r="I381" s="5">
        <f t="shared" si="16"/>
        <v>-3.5073515042567428E-2</v>
      </c>
      <c r="K381" s="5">
        <f t="shared" si="17"/>
        <v>379</v>
      </c>
      <c r="L381" s="5">
        <v>-9.0196022021553218E-3</v>
      </c>
    </row>
    <row r="382" spans="1:12" x14ac:dyDescent="0.25">
      <c r="A382" s="1">
        <v>44281</v>
      </c>
      <c r="B382">
        <v>502.82000732421875</v>
      </c>
      <c r="C382">
        <v>508.72000122070313</v>
      </c>
      <c r="D382">
        <v>496.67999267578125</v>
      </c>
      <c r="E382">
        <v>508.04998779296875</v>
      </c>
      <c r="F382">
        <v>508.04998779296875</v>
      </c>
      <c r="G382">
        <v>3467800</v>
      </c>
      <c r="I382" s="5">
        <f t="shared" si="16"/>
        <v>1.0268071696046559E-2</v>
      </c>
      <c r="K382" s="5">
        <f t="shared" si="17"/>
        <v>380</v>
      </c>
      <c r="L382" s="5">
        <v>-9.0003328115500492E-3</v>
      </c>
    </row>
    <row r="383" spans="1:12" x14ac:dyDescent="0.25">
      <c r="A383" s="1">
        <v>44284</v>
      </c>
      <c r="B383">
        <v>505.66000366210938</v>
      </c>
      <c r="C383">
        <v>518</v>
      </c>
      <c r="D383">
        <v>504.39999389648438</v>
      </c>
      <c r="E383">
        <v>513.95001220703125</v>
      </c>
      <c r="F383">
        <v>513.95001220703125</v>
      </c>
      <c r="G383">
        <v>3330000</v>
      </c>
      <c r="I383" s="5">
        <f t="shared" si="16"/>
        <v>1.154616430566326E-2</v>
      </c>
      <c r="K383" s="5">
        <f t="shared" si="17"/>
        <v>381</v>
      </c>
      <c r="L383" s="5">
        <v>-8.9228111804975242E-3</v>
      </c>
    </row>
    <row r="384" spans="1:12" x14ac:dyDescent="0.25">
      <c r="A384" s="1">
        <v>44285</v>
      </c>
      <c r="B384">
        <v>510.510009765625</v>
      </c>
      <c r="C384">
        <v>514.40997314453125</v>
      </c>
      <c r="D384">
        <v>506.91000366210938</v>
      </c>
      <c r="E384">
        <v>513.3900146484375</v>
      </c>
      <c r="F384">
        <v>513.3900146484375</v>
      </c>
      <c r="G384">
        <v>2418100</v>
      </c>
      <c r="I384" s="5">
        <f t="shared" si="16"/>
        <v>-1.0901894200920159E-3</v>
      </c>
      <c r="K384" s="5">
        <f t="shared" si="17"/>
        <v>382</v>
      </c>
      <c r="L384" s="5">
        <v>-8.9036311088026635E-3</v>
      </c>
    </row>
    <row r="385" spans="1:12" x14ac:dyDescent="0.25">
      <c r="A385" s="1">
        <v>44286</v>
      </c>
      <c r="B385">
        <v>515.66998291015625</v>
      </c>
      <c r="C385">
        <v>528.1300048828125</v>
      </c>
      <c r="D385">
        <v>515.44000244140625</v>
      </c>
      <c r="E385">
        <v>521.65997314453125</v>
      </c>
      <c r="F385">
        <v>521.65997314453125</v>
      </c>
      <c r="G385">
        <v>3503100</v>
      </c>
      <c r="I385" s="5">
        <f t="shared" si="16"/>
        <v>1.5980164400740824E-2</v>
      </c>
      <c r="K385" s="5">
        <f t="shared" si="17"/>
        <v>383</v>
      </c>
      <c r="L385" s="5">
        <v>-8.860577755279939E-3</v>
      </c>
    </row>
    <row r="386" spans="1:12" x14ac:dyDescent="0.25">
      <c r="A386" s="1">
        <v>44287</v>
      </c>
      <c r="B386">
        <v>529.92999267578125</v>
      </c>
      <c r="C386">
        <v>540.5</v>
      </c>
      <c r="D386">
        <v>527.030029296875</v>
      </c>
      <c r="E386">
        <v>539.41998291015625</v>
      </c>
      <c r="F386">
        <v>539.41998291015625</v>
      </c>
      <c r="G386">
        <v>3938600</v>
      </c>
      <c r="I386" s="5">
        <f t="shared" si="16"/>
        <v>3.3478473380458701E-2</v>
      </c>
      <c r="K386" s="5">
        <f t="shared" si="17"/>
        <v>384</v>
      </c>
      <c r="L386" s="5">
        <v>-8.8230870117070315E-3</v>
      </c>
    </row>
    <row r="387" spans="1:12" x14ac:dyDescent="0.25">
      <c r="A387" s="1">
        <v>44291</v>
      </c>
      <c r="B387">
        <v>540.010009765625</v>
      </c>
      <c r="C387">
        <v>542.8499755859375</v>
      </c>
      <c r="D387">
        <v>529.22998046875</v>
      </c>
      <c r="E387">
        <v>540.66998291015625</v>
      </c>
      <c r="F387">
        <v>540.66998291015625</v>
      </c>
      <c r="G387">
        <v>3355900</v>
      </c>
      <c r="I387" s="5">
        <f t="shared" si="16"/>
        <v>2.3146230362790861E-3</v>
      </c>
      <c r="K387" s="5">
        <f t="shared" si="17"/>
        <v>385</v>
      </c>
      <c r="L387" s="5">
        <v>-8.8224321558673137E-3</v>
      </c>
    </row>
    <row r="388" spans="1:12" x14ac:dyDescent="0.25">
      <c r="A388" s="1">
        <v>44292</v>
      </c>
      <c r="B388">
        <v>544.80999755859375</v>
      </c>
      <c r="C388">
        <v>554.16998291015625</v>
      </c>
      <c r="D388">
        <v>543.29998779296875</v>
      </c>
      <c r="E388">
        <v>544.530029296875</v>
      </c>
      <c r="F388">
        <v>544.530029296875</v>
      </c>
      <c r="G388">
        <v>3474200</v>
      </c>
      <c r="I388" s="5">
        <f t="shared" ref="I388:I451" si="18">LN(F388/F387)</f>
        <v>7.114011468410706E-3</v>
      </c>
      <c r="K388" s="5">
        <f t="shared" ref="K388:K451" si="19">_xlfn.RANK.AVG(L388,_xlfn.ANCHORARRAY($L$3),1)</f>
        <v>386</v>
      </c>
      <c r="L388" s="5">
        <v>-8.7938051505986551E-3</v>
      </c>
    </row>
    <row r="389" spans="1:12" x14ac:dyDescent="0.25">
      <c r="A389" s="1">
        <v>44293</v>
      </c>
      <c r="B389">
        <v>543.5</v>
      </c>
      <c r="C389">
        <v>549.6400146484375</v>
      </c>
      <c r="D389">
        <v>541.45001220703125</v>
      </c>
      <c r="E389">
        <v>546.989990234375</v>
      </c>
      <c r="F389">
        <v>546.989990234375</v>
      </c>
      <c r="G389">
        <v>2151300</v>
      </c>
      <c r="I389" s="5">
        <f t="shared" si="18"/>
        <v>4.5074117897076016E-3</v>
      </c>
      <c r="K389" s="5">
        <f t="shared" si="19"/>
        <v>387</v>
      </c>
      <c r="L389" s="5">
        <v>-8.7316196503796524E-3</v>
      </c>
    </row>
    <row r="390" spans="1:12" x14ac:dyDescent="0.25">
      <c r="A390" s="1">
        <v>44294</v>
      </c>
      <c r="B390">
        <v>551.1300048828125</v>
      </c>
      <c r="C390">
        <v>556.9000244140625</v>
      </c>
      <c r="D390">
        <v>547.57000732421875</v>
      </c>
      <c r="E390">
        <v>554.58001708984375</v>
      </c>
      <c r="F390">
        <v>554.58001708984375</v>
      </c>
      <c r="G390">
        <v>4309800</v>
      </c>
      <c r="I390" s="5">
        <f t="shared" si="18"/>
        <v>1.3780598454738016E-2</v>
      </c>
      <c r="K390" s="5">
        <f t="shared" si="19"/>
        <v>388</v>
      </c>
      <c r="L390" s="5">
        <v>-8.663414532725797E-3</v>
      </c>
    </row>
    <row r="391" spans="1:12" x14ac:dyDescent="0.25">
      <c r="A391" s="1">
        <v>44295</v>
      </c>
      <c r="B391">
        <v>552.69000244140625</v>
      </c>
      <c r="C391">
        <v>556.9000244140625</v>
      </c>
      <c r="D391">
        <v>547.1099853515625</v>
      </c>
      <c r="E391">
        <v>555.30999755859375</v>
      </c>
      <c r="F391">
        <v>555.30999755859375</v>
      </c>
      <c r="G391">
        <v>2894000</v>
      </c>
      <c r="I391" s="5">
        <f t="shared" si="18"/>
        <v>1.3154106521783269E-3</v>
      </c>
      <c r="K391" s="5">
        <f t="shared" si="19"/>
        <v>389</v>
      </c>
      <c r="L391" s="5">
        <v>-8.5305652706947933E-3</v>
      </c>
    </row>
    <row r="392" spans="1:12" x14ac:dyDescent="0.25">
      <c r="A392" s="1">
        <v>44298</v>
      </c>
      <c r="B392">
        <v>551.04998779296875</v>
      </c>
      <c r="C392">
        <v>557.97998046875</v>
      </c>
      <c r="D392">
        <v>549.58001708984375</v>
      </c>
      <c r="E392">
        <v>552.780029296875</v>
      </c>
      <c r="F392">
        <v>552.780029296875</v>
      </c>
      <c r="G392">
        <v>2944100</v>
      </c>
      <c r="I392" s="5">
        <f t="shared" si="18"/>
        <v>-4.5663666246972701E-3</v>
      </c>
      <c r="K392" s="5">
        <f t="shared" si="19"/>
        <v>390</v>
      </c>
      <c r="L392" s="5">
        <v>-8.5274735661084594E-3</v>
      </c>
    </row>
    <row r="393" spans="1:12" x14ac:dyDescent="0.25">
      <c r="A393" s="1">
        <v>44299</v>
      </c>
      <c r="B393">
        <v>557</v>
      </c>
      <c r="C393">
        <v>559.75</v>
      </c>
      <c r="D393">
        <v>550.29998779296875</v>
      </c>
      <c r="E393">
        <v>553.72998046875</v>
      </c>
      <c r="F393">
        <v>553.72998046875</v>
      </c>
      <c r="G393">
        <v>2720300</v>
      </c>
      <c r="I393" s="5">
        <f t="shared" si="18"/>
        <v>1.7170227053992201E-3</v>
      </c>
      <c r="K393" s="5">
        <f t="shared" si="19"/>
        <v>391</v>
      </c>
      <c r="L393" s="5">
        <v>-8.4514006586063235E-3</v>
      </c>
    </row>
    <row r="394" spans="1:12" x14ac:dyDescent="0.25">
      <c r="A394" s="1">
        <v>44300</v>
      </c>
      <c r="B394">
        <v>554.8699951171875</v>
      </c>
      <c r="C394">
        <v>554.8699951171875</v>
      </c>
      <c r="D394">
        <v>538.530029296875</v>
      </c>
      <c r="E394">
        <v>540.02001953125</v>
      </c>
      <c r="F394">
        <v>540.02001953125</v>
      </c>
      <c r="G394">
        <v>3740300</v>
      </c>
      <c r="I394" s="5">
        <f t="shared" si="18"/>
        <v>-2.5070955976308085E-2</v>
      </c>
      <c r="K394" s="5">
        <f t="shared" si="19"/>
        <v>392</v>
      </c>
      <c r="L394" s="5">
        <v>-8.4408757853683333E-3</v>
      </c>
    </row>
    <row r="395" spans="1:12" x14ac:dyDescent="0.25">
      <c r="A395" s="1">
        <v>44301</v>
      </c>
      <c r="B395">
        <v>544.16998291015625</v>
      </c>
      <c r="C395">
        <v>553.489990234375</v>
      </c>
      <c r="D395">
        <v>542.65997314453125</v>
      </c>
      <c r="E395">
        <v>549.219970703125</v>
      </c>
      <c r="F395">
        <v>549.219970703125</v>
      </c>
      <c r="G395">
        <v>3139100</v>
      </c>
      <c r="I395" s="5">
        <f t="shared" si="18"/>
        <v>1.6892824416879042E-2</v>
      </c>
      <c r="K395" s="5">
        <f t="shared" si="19"/>
        <v>393</v>
      </c>
      <c r="L395" s="5">
        <v>-8.4331010115389297E-3</v>
      </c>
    </row>
    <row r="396" spans="1:12" x14ac:dyDescent="0.25">
      <c r="A396" s="1">
        <v>44302</v>
      </c>
      <c r="B396">
        <v>550.53997802734375</v>
      </c>
      <c r="C396">
        <v>551.97998046875</v>
      </c>
      <c r="D396">
        <v>539.510009765625</v>
      </c>
      <c r="E396">
        <v>546.53997802734375</v>
      </c>
      <c r="F396">
        <v>546.53997802734375</v>
      </c>
      <c r="G396">
        <v>3209100</v>
      </c>
      <c r="I396" s="5">
        <f t="shared" si="18"/>
        <v>-4.8915787124493354E-3</v>
      </c>
      <c r="K396" s="5">
        <f t="shared" si="19"/>
        <v>394</v>
      </c>
      <c r="L396" s="5">
        <v>-8.4330285847040616E-3</v>
      </c>
    </row>
    <row r="397" spans="1:12" x14ac:dyDescent="0.25">
      <c r="A397" s="1">
        <v>44305</v>
      </c>
      <c r="B397">
        <v>546.9000244140625</v>
      </c>
      <c r="C397">
        <v>556.44000244140625</v>
      </c>
      <c r="D397">
        <v>545.530029296875</v>
      </c>
      <c r="E397">
        <v>554.44000244140625</v>
      </c>
      <c r="F397">
        <v>554.44000244140625</v>
      </c>
      <c r="G397">
        <v>4288700</v>
      </c>
      <c r="I397" s="5">
        <f t="shared" si="18"/>
        <v>1.4351141966951633E-2</v>
      </c>
      <c r="K397" s="5">
        <f t="shared" si="19"/>
        <v>395</v>
      </c>
      <c r="L397" s="5">
        <v>-8.4120495606838635E-3</v>
      </c>
    </row>
    <row r="398" spans="1:12" x14ac:dyDescent="0.25">
      <c r="A398" s="1">
        <v>44306</v>
      </c>
      <c r="B398">
        <v>554.41998291015625</v>
      </c>
      <c r="C398">
        <v>563.55999755859375</v>
      </c>
      <c r="D398">
        <v>546.29998779296875</v>
      </c>
      <c r="E398">
        <v>549.57000732421875</v>
      </c>
      <c r="F398">
        <v>549.57000732421875</v>
      </c>
      <c r="G398">
        <v>11257600</v>
      </c>
      <c r="I398" s="5">
        <f t="shared" si="18"/>
        <v>-8.8224321558673137E-3</v>
      </c>
      <c r="K398" s="5">
        <f t="shared" si="19"/>
        <v>396</v>
      </c>
      <c r="L398" s="5">
        <v>-8.4011047284385468E-3</v>
      </c>
    </row>
    <row r="399" spans="1:12" x14ac:dyDescent="0.25">
      <c r="A399" s="1">
        <v>44307</v>
      </c>
      <c r="B399">
        <v>508</v>
      </c>
      <c r="C399">
        <v>515.46002197265625</v>
      </c>
      <c r="D399">
        <v>503.60000610351563</v>
      </c>
      <c r="E399">
        <v>508.89999389648438</v>
      </c>
      <c r="F399">
        <v>508.89999389648438</v>
      </c>
      <c r="G399">
        <v>22897400</v>
      </c>
      <c r="I399" s="5">
        <f t="shared" si="18"/>
        <v>-7.6884645991417352E-2</v>
      </c>
      <c r="K399" s="5">
        <f t="shared" si="19"/>
        <v>397</v>
      </c>
      <c r="L399" s="5">
        <v>-8.3786285357568928E-3</v>
      </c>
    </row>
    <row r="400" spans="1:12" x14ac:dyDescent="0.25">
      <c r="A400" s="1">
        <v>44308</v>
      </c>
      <c r="B400">
        <v>513.82000732421875</v>
      </c>
      <c r="C400">
        <v>513.96002197265625</v>
      </c>
      <c r="D400">
        <v>500.54998779296875</v>
      </c>
      <c r="E400">
        <v>508.77999877929688</v>
      </c>
      <c r="F400">
        <v>508.77999877929688</v>
      </c>
      <c r="G400">
        <v>9061100</v>
      </c>
      <c r="I400" s="5">
        <f t="shared" si="18"/>
        <v>-2.3582092329066081E-4</v>
      </c>
      <c r="K400" s="5">
        <f t="shared" si="19"/>
        <v>398</v>
      </c>
      <c r="L400" s="5">
        <v>-8.3246150017540071E-3</v>
      </c>
    </row>
    <row r="401" spans="1:12" x14ac:dyDescent="0.25">
      <c r="A401" s="1">
        <v>44309</v>
      </c>
      <c r="B401">
        <v>509.010009765625</v>
      </c>
      <c r="C401">
        <v>509.70001220703125</v>
      </c>
      <c r="D401">
        <v>500.70001220703125</v>
      </c>
      <c r="E401">
        <v>505.54998779296875</v>
      </c>
      <c r="F401">
        <v>505.54998779296875</v>
      </c>
      <c r="G401">
        <v>7307700</v>
      </c>
      <c r="I401" s="5">
        <f t="shared" si="18"/>
        <v>-6.3687792865838588E-3</v>
      </c>
      <c r="K401" s="5">
        <f t="shared" si="19"/>
        <v>399</v>
      </c>
      <c r="L401" s="5">
        <v>-8.3028232660479553E-3</v>
      </c>
    </row>
    <row r="402" spans="1:12" x14ac:dyDescent="0.25">
      <c r="A402" s="1">
        <v>44312</v>
      </c>
      <c r="B402">
        <v>506.760009765625</v>
      </c>
      <c r="C402">
        <v>510.48001098632813</v>
      </c>
      <c r="D402">
        <v>503</v>
      </c>
      <c r="E402">
        <v>510.29998779296875</v>
      </c>
      <c r="F402">
        <v>510.29998779296875</v>
      </c>
      <c r="G402">
        <v>4388800</v>
      </c>
      <c r="I402" s="5">
        <f t="shared" si="18"/>
        <v>9.3518427572751375E-3</v>
      </c>
      <c r="K402" s="5">
        <f t="shared" si="19"/>
        <v>400</v>
      </c>
      <c r="L402" s="5">
        <v>-8.2837886074511036E-3</v>
      </c>
    </row>
    <row r="403" spans="1:12" x14ac:dyDescent="0.25">
      <c r="A403" s="1">
        <v>44313</v>
      </c>
      <c r="B403">
        <v>512.6199951171875</v>
      </c>
      <c r="C403">
        <v>512.989990234375</v>
      </c>
      <c r="D403">
        <v>504.57998657226563</v>
      </c>
      <c r="E403">
        <v>505.54998779296875</v>
      </c>
      <c r="F403">
        <v>505.54998779296875</v>
      </c>
      <c r="G403">
        <v>3761300</v>
      </c>
      <c r="I403" s="5">
        <f t="shared" si="18"/>
        <v>-9.3518427572750439E-3</v>
      </c>
      <c r="K403" s="5">
        <f t="shared" si="19"/>
        <v>401</v>
      </c>
      <c r="L403" s="5">
        <v>-8.2219605147102991E-3</v>
      </c>
    </row>
    <row r="404" spans="1:12" x14ac:dyDescent="0.25">
      <c r="A404" s="1">
        <v>44314</v>
      </c>
      <c r="B404">
        <v>505.20001220703125</v>
      </c>
      <c r="C404">
        <v>508.39999389648438</v>
      </c>
      <c r="D404">
        <v>503.33999633789063</v>
      </c>
      <c r="E404">
        <v>506.51998901367188</v>
      </c>
      <c r="F404">
        <v>506.51998901367188</v>
      </c>
      <c r="G404">
        <v>3193000</v>
      </c>
      <c r="I404" s="5">
        <f t="shared" si="18"/>
        <v>1.9168665012201168E-3</v>
      </c>
      <c r="K404" s="5">
        <f t="shared" si="19"/>
        <v>402</v>
      </c>
      <c r="L404" s="5">
        <v>-8.1635201289866257E-3</v>
      </c>
    </row>
    <row r="405" spans="1:12" x14ac:dyDescent="0.25">
      <c r="A405" s="1">
        <v>44315</v>
      </c>
      <c r="B405">
        <v>507.60000610351563</v>
      </c>
      <c r="C405">
        <v>509.29000854492188</v>
      </c>
      <c r="D405">
        <v>499</v>
      </c>
      <c r="E405">
        <v>509</v>
      </c>
      <c r="F405">
        <v>509</v>
      </c>
      <c r="G405">
        <v>5127800</v>
      </c>
      <c r="I405" s="5">
        <f t="shared" si="18"/>
        <v>4.8842286579362515E-3</v>
      </c>
      <c r="K405" s="5">
        <f t="shared" si="19"/>
        <v>403</v>
      </c>
      <c r="L405" s="5">
        <v>-8.1376603177158169E-3</v>
      </c>
    </row>
    <row r="406" spans="1:12" x14ac:dyDescent="0.25">
      <c r="A406" s="1">
        <v>44316</v>
      </c>
      <c r="B406">
        <v>505</v>
      </c>
      <c r="C406">
        <v>514.54998779296875</v>
      </c>
      <c r="D406">
        <v>505</v>
      </c>
      <c r="E406">
        <v>513.469970703125</v>
      </c>
      <c r="F406">
        <v>513.469970703125</v>
      </c>
      <c r="G406">
        <v>4413200</v>
      </c>
      <c r="I406" s="5">
        <f t="shared" si="18"/>
        <v>8.7435314647104356E-3</v>
      </c>
      <c r="K406" s="5">
        <f t="shared" si="19"/>
        <v>404</v>
      </c>
      <c r="L406" s="5">
        <v>-8.106381444571693E-3</v>
      </c>
    </row>
    <row r="407" spans="1:12" x14ac:dyDescent="0.25">
      <c r="A407" s="1">
        <v>44319</v>
      </c>
      <c r="B407">
        <v>512.6500244140625</v>
      </c>
      <c r="C407">
        <v>518.95001220703125</v>
      </c>
      <c r="D407">
        <v>505.20001220703125</v>
      </c>
      <c r="E407">
        <v>509.1099853515625</v>
      </c>
      <c r="F407">
        <v>509.1099853515625</v>
      </c>
      <c r="G407">
        <v>4091900</v>
      </c>
      <c r="I407" s="5">
        <f t="shared" si="18"/>
        <v>-8.5274735661084594E-3</v>
      </c>
      <c r="K407" s="5">
        <f t="shared" si="19"/>
        <v>405</v>
      </c>
      <c r="L407" s="5">
        <v>-7.9743693202865285E-3</v>
      </c>
    </row>
    <row r="408" spans="1:12" x14ac:dyDescent="0.25">
      <c r="A408" s="1">
        <v>44320</v>
      </c>
      <c r="B408">
        <v>510.77999877929688</v>
      </c>
      <c r="C408">
        <v>511.6300048828125</v>
      </c>
      <c r="D408">
        <v>496.79000854492188</v>
      </c>
      <c r="E408">
        <v>503.17999267578125</v>
      </c>
      <c r="F408">
        <v>503.17999267578125</v>
      </c>
      <c r="G408">
        <v>4349500</v>
      </c>
      <c r="I408" s="5">
        <f t="shared" si="18"/>
        <v>-1.1716130036615516E-2</v>
      </c>
      <c r="K408" s="5">
        <f t="shared" si="19"/>
        <v>406</v>
      </c>
      <c r="L408" s="5">
        <v>-7.9654617763044097E-3</v>
      </c>
    </row>
    <row r="409" spans="1:12" x14ac:dyDescent="0.25">
      <c r="A409" s="1">
        <v>44321</v>
      </c>
      <c r="B409">
        <v>504.989990234375</v>
      </c>
      <c r="C409">
        <v>507.77999877929688</v>
      </c>
      <c r="D409">
        <v>494.6300048828125</v>
      </c>
      <c r="E409">
        <v>496.07998657226563</v>
      </c>
      <c r="F409">
        <v>496.07998657226563</v>
      </c>
      <c r="G409">
        <v>3129400</v>
      </c>
      <c r="I409" s="5">
        <f t="shared" si="18"/>
        <v>-1.4210767438566321E-2</v>
      </c>
      <c r="K409" s="5">
        <f t="shared" si="19"/>
        <v>407</v>
      </c>
      <c r="L409" s="5">
        <v>-7.9210234750524515E-3</v>
      </c>
    </row>
    <row r="410" spans="1:12" x14ac:dyDescent="0.25">
      <c r="A410" s="1">
        <v>44322</v>
      </c>
      <c r="B410">
        <v>495.989990234375</v>
      </c>
      <c r="C410">
        <v>499.54998779296875</v>
      </c>
      <c r="D410">
        <v>491.3699951171875</v>
      </c>
      <c r="E410">
        <v>499.54998779296875</v>
      </c>
      <c r="F410">
        <v>499.54998779296875</v>
      </c>
      <c r="G410">
        <v>3783700</v>
      </c>
      <c r="I410" s="5">
        <f t="shared" si="18"/>
        <v>6.9704917690295446E-3</v>
      </c>
      <c r="K410" s="5">
        <f t="shared" si="19"/>
        <v>408</v>
      </c>
      <c r="L410" s="5">
        <v>-7.8721406925952881E-3</v>
      </c>
    </row>
    <row r="411" spans="1:12" x14ac:dyDescent="0.25">
      <c r="A411" s="1">
        <v>44323</v>
      </c>
      <c r="B411">
        <v>504.6199951171875</v>
      </c>
      <c r="C411">
        <v>508.54998779296875</v>
      </c>
      <c r="D411">
        <v>501.1199951171875</v>
      </c>
      <c r="E411">
        <v>503.83999633789063</v>
      </c>
      <c r="F411">
        <v>503.83999633789063</v>
      </c>
      <c r="G411">
        <v>3132800</v>
      </c>
      <c r="I411" s="5">
        <f t="shared" si="18"/>
        <v>8.5510813413447861E-3</v>
      </c>
      <c r="K411" s="5">
        <f t="shared" si="19"/>
        <v>409</v>
      </c>
      <c r="L411" s="5">
        <v>-7.8663139159821493E-3</v>
      </c>
    </row>
    <row r="412" spans="1:12" x14ac:dyDescent="0.25">
      <c r="A412" s="1">
        <v>44326</v>
      </c>
      <c r="B412">
        <v>502</v>
      </c>
      <c r="C412">
        <v>503.14999389648438</v>
      </c>
      <c r="D412">
        <v>486.1099853515625</v>
      </c>
      <c r="E412">
        <v>486.69000244140625</v>
      </c>
      <c r="F412">
        <v>486.69000244140625</v>
      </c>
      <c r="G412">
        <v>5131600</v>
      </c>
      <c r="I412" s="5">
        <f t="shared" si="18"/>
        <v>-3.4631374977552087E-2</v>
      </c>
      <c r="K412" s="5">
        <f t="shared" si="19"/>
        <v>410</v>
      </c>
      <c r="L412" s="5">
        <v>-7.8416808027011106E-3</v>
      </c>
    </row>
    <row r="413" spans="1:12" x14ac:dyDescent="0.25">
      <c r="A413" s="1">
        <v>44327</v>
      </c>
      <c r="B413">
        <v>479.75</v>
      </c>
      <c r="C413">
        <v>497.989990234375</v>
      </c>
      <c r="D413">
        <v>478.6300048828125</v>
      </c>
      <c r="E413">
        <v>495.07998657226563</v>
      </c>
      <c r="F413">
        <v>495.07998657226563</v>
      </c>
      <c r="G413">
        <v>4401000</v>
      </c>
      <c r="I413" s="5">
        <f t="shared" si="18"/>
        <v>1.709196344270356E-2</v>
      </c>
      <c r="K413" s="5">
        <f t="shared" si="19"/>
        <v>411</v>
      </c>
      <c r="L413" s="5">
        <v>-7.8299682275001208E-3</v>
      </c>
    </row>
    <row r="414" spans="1:12" x14ac:dyDescent="0.25">
      <c r="A414" s="1">
        <v>44328</v>
      </c>
      <c r="B414">
        <v>486.82998657226563</v>
      </c>
      <c r="C414">
        <v>493.54000854492188</v>
      </c>
      <c r="D414">
        <v>482.70001220703125</v>
      </c>
      <c r="E414">
        <v>484.98001098632813</v>
      </c>
      <c r="F414">
        <v>484.98001098632813</v>
      </c>
      <c r="G414">
        <v>4121500</v>
      </c>
      <c r="I414" s="5">
        <f t="shared" si="18"/>
        <v>-2.0611662922503701E-2</v>
      </c>
      <c r="K414" s="5">
        <f t="shared" si="19"/>
        <v>412</v>
      </c>
      <c r="L414" s="5">
        <v>-7.8279104775821878E-3</v>
      </c>
    </row>
    <row r="415" spans="1:12" x14ac:dyDescent="0.25">
      <c r="A415" s="1">
        <v>44329</v>
      </c>
      <c r="B415">
        <v>489.1300048828125</v>
      </c>
      <c r="C415">
        <v>490.77999877929688</v>
      </c>
      <c r="D415">
        <v>482.70999145507813</v>
      </c>
      <c r="E415">
        <v>486.66000366210938</v>
      </c>
      <c r="F415">
        <v>486.66000366210938</v>
      </c>
      <c r="G415">
        <v>2712500</v>
      </c>
      <c r="I415" s="5">
        <f t="shared" si="18"/>
        <v>3.4580592083289234E-3</v>
      </c>
      <c r="K415" s="5">
        <f t="shared" si="19"/>
        <v>413</v>
      </c>
      <c r="L415" s="5">
        <v>-7.7932370341123837E-3</v>
      </c>
    </row>
    <row r="416" spans="1:12" x14ac:dyDescent="0.25">
      <c r="A416" s="1">
        <v>44330</v>
      </c>
      <c r="B416">
        <v>487.8599853515625</v>
      </c>
      <c r="C416">
        <v>494.85000610351563</v>
      </c>
      <c r="D416">
        <v>486.58999633789063</v>
      </c>
      <c r="E416">
        <v>493.3699951171875</v>
      </c>
      <c r="F416">
        <v>493.3699951171875</v>
      </c>
      <c r="G416">
        <v>2882500</v>
      </c>
      <c r="I416" s="5">
        <f t="shared" si="18"/>
        <v>1.3693654920308499E-2</v>
      </c>
      <c r="K416" s="5">
        <f t="shared" si="19"/>
        <v>414</v>
      </c>
      <c r="L416" s="5">
        <v>-7.7759716197862644E-3</v>
      </c>
    </row>
    <row r="417" spans="1:12" x14ac:dyDescent="0.25">
      <c r="A417" s="1">
        <v>44333</v>
      </c>
      <c r="B417">
        <v>485.58999633789063</v>
      </c>
      <c r="C417">
        <v>492.70999145507813</v>
      </c>
      <c r="D417">
        <v>482.80999755859375</v>
      </c>
      <c r="E417">
        <v>488.94000244140625</v>
      </c>
      <c r="F417">
        <v>488.94000244140625</v>
      </c>
      <c r="G417">
        <v>2705200</v>
      </c>
      <c r="I417" s="5">
        <f t="shared" si="18"/>
        <v>-9.0196022021553218E-3</v>
      </c>
      <c r="K417" s="5">
        <f t="shared" si="19"/>
        <v>415</v>
      </c>
      <c r="L417" s="5">
        <v>-7.6498040525337339E-3</v>
      </c>
    </row>
    <row r="418" spans="1:12" x14ac:dyDescent="0.25">
      <c r="A418" s="1">
        <v>44334</v>
      </c>
      <c r="B418">
        <v>488.39999389648438</v>
      </c>
      <c r="C418">
        <v>493.48001098632813</v>
      </c>
      <c r="D418">
        <v>486.19000244140625</v>
      </c>
      <c r="E418">
        <v>486.27999877929688</v>
      </c>
      <c r="F418">
        <v>486.27999877929688</v>
      </c>
      <c r="G418">
        <v>2350500</v>
      </c>
      <c r="I418" s="5">
        <f t="shared" si="18"/>
        <v>-5.4552003761422401E-3</v>
      </c>
      <c r="K418" s="5">
        <f t="shared" si="19"/>
        <v>416</v>
      </c>
      <c r="L418" s="5">
        <v>-7.5633612639468759E-3</v>
      </c>
    </row>
    <row r="419" spans="1:12" x14ac:dyDescent="0.25">
      <c r="A419" s="1">
        <v>44335</v>
      </c>
      <c r="B419">
        <v>481.6300048828125</v>
      </c>
      <c r="C419">
        <v>488.57000732421875</v>
      </c>
      <c r="D419">
        <v>478.54000854492188</v>
      </c>
      <c r="E419">
        <v>487.70001220703125</v>
      </c>
      <c r="F419">
        <v>487.70001220703125</v>
      </c>
      <c r="G419">
        <v>3349900</v>
      </c>
      <c r="I419" s="5">
        <f t="shared" si="18"/>
        <v>2.9159005684974218E-3</v>
      </c>
      <c r="K419" s="5">
        <f t="shared" si="19"/>
        <v>417</v>
      </c>
      <c r="L419" s="5">
        <v>-7.5568658027093689E-3</v>
      </c>
    </row>
    <row r="420" spans="1:12" x14ac:dyDescent="0.25">
      <c r="A420" s="1">
        <v>44336</v>
      </c>
      <c r="B420">
        <v>489.54998779296875</v>
      </c>
      <c r="C420">
        <v>502.70001220703125</v>
      </c>
      <c r="D420">
        <v>488.98001098632813</v>
      </c>
      <c r="E420">
        <v>501.67001342773438</v>
      </c>
      <c r="F420">
        <v>501.67001342773438</v>
      </c>
      <c r="G420">
        <v>3721200</v>
      </c>
      <c r="I420" s="5">
        <f t="shared" si="18"/>
        <v>2.8242072031331802E-2</v>
      </c>
      <c r="K420" s="5">
        <f t="shared" si="19"/>
        <v>418</v>
      </c>
      <c r="L420" s="5">
        <v>-7.5227022172897201E-3</v>
      </c>
    </row>
    <row r="421" spans="1:12" x14ac:dyDescent="0.25">
      <c r="A421" s="1">
        <v>44337</v>
      </c>
      <c r="B421">
        <v>503.1199951171875</v>
      </c>
      <c r="C421">
        <v>505.39999389648438</v>
      </c>
      <c r="D421">
        <v>497.260009765625</v>
      </c>
      <c r="E421">
        <v>497.8900146484375</v>
      </c>
      <c r="F421">
        <v>497.8900146484375</v>
      </c>
      <c r="G421">
        <v>3322900</v>
      </c>
      <c r="I421" s="5">
        <f t="shared" si="18"/>
        <v>-7.5633612639468759E-3</v>
      </c>
      <c r="K421" s="5">
        <f t="shared" si="19"/>
        <v>419</v>
      </c>
      <c r="L421" s="5">
        <v>-7.4996624722307127E-3</v>
      </c>
    </row>
    <row r="422" spans="1:12" x14ac:dyDescent="0.25">
      <c r="A422" s="1">
        <v>44340</v>
      </c>
      <c r="B422">
        <v>501.04998779296875</v>
      </c>
      <c r="C422">
        <v>504.25</v>
      </c>
      <c r="D422">
        <v>499.510009765625</v>
      </c>
      <c r="E422">
        <v>502.89999389648438</v>
      </c>
      <c r="F422">
        <v>502.89999389648438</v>
      </c>
      <c r="G422">
        <v>2412600</v>
      </c>
      <c r="I422" s="5">
        <f t="shared" si="18"/>
        <v>1.0012132528093293E-2</v>
      </c>
      <c r="K422" s="5">
        <f t="shared" si="19"/>
        <v>420</v>
      </c>
      <c r="L422" s="5">
        <v>-7.4459836486526878E-3</v>
      </c>
    </row>
    <row r="423" spans="1:12" x14ac:dyDescent="0.25">
      <c r="A423" s="1">
        <v>44341</v>
      </c>
      <c r="B423">
        <v>506</v>
      </c>
      <c r="C423">
        <v>506.3699951171875</v>
      </c>
      <c r="D423">
        <v>499.22000122070313</v>
      </c>
      <c r="E423">
        <v>501.33999633789063</v>
      </c>
      <c r="F423">
        <v>501.33999633789063</v>
      </c>
      <c r="G423">
        <v>2699500</v>
      </c>
      <c r="I423" s="5">
        <f t="shared" si="18"/>
        <v>-3.1068247203226663E-3</v>
      </c>
      <c r="K423" s="5">
        <f t="shared" si="19"/>
        <v>421</v>
      </c>
      <c r="L423" s="5">
        <v>-7.427989889119184E-3</v>
      </c>
    </row>
    <row r="424" spans="1:12" x14ac:dyDescent="0.25">
      <c r="A424" s="1">
        <v>44342</v>
      </c>
      <c r="B424">
        <v>502.33999633789063</v>
      </c>
      <c r="C424">
        <v>504.1400146484375</v>
      </c>
      <c r="D424">
        <v>500.5</v>
      </c>
      <c r="E424">
        <v>502.3599853515625</v>
      </c>
      <c r="F424">
        <v>502.3599853515625</v>
      </c>
      <c r="G424">
        <v>2465300</v>
      </c>
      <c r="I424" s="5">
        <f t="shared" si="18"/>
        <v>2.0324586697245406E-3</v>
      </c>
      <c r="K424" s="5">
        <f t="shared" si="19"/>
        <v>422</v>
      </c>
      <c r="L424" s="5">
        <v>-7.4037182941319333E-3</v>
      </c>
    </row>
    <row r="425" spans="1:12" x14ac:dyDescent="0.25">
      <c r="A425" s="1">
        <v>44343</v>
      </c>
      <c r="B425">
        <v>501.79998779296875</v>
      </c>
      <c r="C425">
        <v>505.10000610351563</v>
      </c>
      <c r="D425">
        <v>498.54000854492188</v>
      </c>
      <c r="E425">
        <v>503.8599853515625</v>
      </c>
      <c r="F425">
        <v>503.8599853515625</v>
      </c>
      <c r="G425">
        <v>3253800</v>
      </c>
      <c r="I425" s="5">
        <f t="shared" si="18"/>
        <v>2.9814576430795886E-3</v>
      </c>
      <c r="K425" s="5">
        <f t="shared" si="19"/>
        <v>423</v>
      </c>
      <c r="L425" s="5">
        <v>-7.3851198404561395E-3</v>
      </c>
    </row>
    <row r="426" spans="1:12" x14ac:dyDescent="0.25">
      <c r="A426" s="1">
        <v>44344</v>
      </c>
      <c r="B426">
        <v>504.39999389648438</v>
      </c>
      <c r="C426">
        <v>511.760009765625</v>
      </c>
      <c r="D426">
        <v>502.52999877929688</v>
      </c>
      <c r="E426">
        <v>502.80999755859375</v>
      </c>
      <c r="F426">
        <v>502.80999755859375</v>
      </c>
      <c r="G426">
        <v>2910300</v>
      </c>
      <c r="I426" s="5">
        <f t="shared" si="18"/>
        <v>-2.0860623472626406E-3</v>
      </c>
      <c r="K426" s="5">
        <f t="shared" si="19"/>
        <v>424</v>
      </c>
      <c r="L426" s="5">
        <v>-7.3528161705276847E-3</v>
      </c>
    </row>
    <row r="427" spans="1:12" x14ac:dyDescent="0.25">
      <c r="A427" s="1">
        <v>44348</v>
      </c>
      <c r="B427">
        <v>504.010009765625</v>
      </c>
      <c r="C427">
        <v>505.41000366210938</v>
      </c>
      <c r="D427">
        <v>497.739990234375</v>
      </c>
      <c r="E427">
        <v>499.07998657226563</v>
      </c>
      <c r="F427">
        <v>499.07998657226563</v>
      </c>
      <c r="G427">
        <v>2482600</v>
      </c>
      <c r="I427" s="5">
        <f t="shared" si="18"/>
        <v>-7.4459836486526878E-3</v>
      </c>
      <c r="K427" s="5">
        <f t="shared" si="19"/>
        <v>425</v>
      </c>
      <c r="L427" s="5">
        <v>-7.3473742068724491E-3</v>
      </c>
    </row>
    <row r="428" spans="1:12" x14ac:dyDescent="0.25">
      <c r="A428" s="1">
        <v>44349</v>
      </c>
      <c r="B428">
        <v>499.82000732421875</v>
      </c>
      <c r="C428">
        <v>503.22000122070313</v>
      </c>
      <c r="D428">
        <v>495.82000732421875</v>
      </c>
      <c r="E428">
        <v>499.239990234375</v>
      </c>
      <c r="F428">
        <v>499.239990234375</v>
      </c>
      <c r="G428">
        <v>2269000</v>
      </c>
      <c r="I428" s="5">
        <f t="shared" si="18"/>
        <v>3.2054585142363059E-4</v>
      </c>
      <c r="K428" s="5">
        <f t="shared" si="19"/>
        <v>426</v>
      </c>
      <c r="L428" s="5">
        <v>-7.2360191289750049E-3</v>
      </c>
    </row>
    <row r="429" spans="1:12" x14ac:dyDescent="0.25">
      <c r="A429" s="1">
        <v>44350</v>
      </c>
      <c r="B429">
        <v>495.19000244140625</v>
      </c>
      <c r="C429">
        <v>496.66000366210938</v>
      </c>
      <c r="D429">
        <v>487.25</v>
      </c>
      <c r="E429">
        <v>489.42999267578125</v>
      </c>
      <c r="F429">
        <v>489.42999267578125</v>
      </c>
      <c r="G429">
        <v>3887400</v>
      </c>
      <c r="I429" s="5">
        <f t="shared" si="18"/>
        <v>-1.9845488773762836E-2</v>
      </c>
      <c r="K429" s="5">
        <f t="shared" si="19"/>
        <v>427</v>
      </c>
      <c r="L429" s="5">
        <v>-7.1347334974912148E-3</v>
      </c>
    </row>
    <row r="430" spans="1:12" x14ac:dyDescent="0.25">
      <c r="A430" s="1">
        <v>44351</v>
      </c>
      <c r="B430">
        <v>492</v>
      </c>
      <c r="C430">
        <v>501.8599853515625</v>
      </c>
      <c r="D430">
        <v>490.95001220703125</v>
      </c>
      <c r="E430">
        <v>494.739990234375</v>
      </c>
      <c r="F430">
        <v>494.739990234375</v>
      </c>
      <c r="G430">
        <v>3160500</v>
      </c>
      <c r="I430" s="5">
        <f t="shared" si="18"/>
        <v>1.0790918595596489E-2</v>
      </c>
      <c r="K430" s="5">
        <f t="shared" si="19"/>
        <v>428</v>
      </c>
      <c r="L430" s="5">
        <v>-7.1346855988082807E-3</v>
      </c>
    </row>
    <row r="431" spans="1:12" x14ac:dyDescent="0.25">
      <c r="A431" s="1">
        <v>44354</v>
      </c>
      <c r="B431">
        <v>492.92001342773438</v>
      </c>
      <c r="C431">
        <v>496.70001220703125</v>
      </c>
      <c r="D431">
        <v>490.54998779296875</v>
      </c>
      <c r="E431">
        <v>494.66000366210938</v>
      </c>
      <c r="F431">
        <v>494.66000366210938</v>
      </c>
      <c r="G431">
        <v>2791900</v>
      </c>
      <c r="I431" s="5">
        <f t="shared" si="18"/>
        <v>-1.6168702836726154E-4</v>
      </c>
      <c r="K431" s="5">
        <f t="shared" si="19"/>
        <v>429</v>
      </c>
      <c r="L431" s="5">
        <v>-7.0106162030533622E-3</v>
      </c>
    </row>
    <row r="432" spans="1:12" x14ac:dyDescent="0.25">
      <c r="A432" s="1">
        <v>44355</v>
      </c>
      <c r="B432">
        <v>497</v>
      </c>
      <c r="C432">
        <v>498.82000732421875</v>
      </c>
      <c r="D432">
        <v>489.3699951171875</v>
      </c>
      <c r="E432">
        <v>492.3900146484375</v>
      </c>
      <c r="F432">
        <v>492.3900146484375</v>
      </c>
      <c r="G432">
        <v>2374000</v>
      </c>
      <c r="I432" s="5">
        <f t="shared" si="18"/>
        <v>-4.5995501211178675E-3</v>
      </c>
      <c r="K432" s="5">
        <f t="shared" si="19"/>
        <v>430</v>
      </c>
      <c r="L432" s="5">
        <v>-7.0092760083117983E-3</v>
      </c>
    </row>
    <row r="433" spans="1:12" x14ac:dyDescent="0.25">
      <c r="A433" s="1">
        <v>44356</v>
      </c>
      <c r="B433">
        <v>494.5</v>
      </c>
      <c r="C433">
        <v>496.08999633789063</v>
      </c>
      <c r="D433">
        <v>484.64999389648438</v>
      </c>
      <c r="E433">
        <v>485.80999755859375</v>
      </c>
      <c r="F433">
        <v>485.80999755859375</v>
      </c>
      <c r="G433">
        <v>3055000</v>
      </c>
      <c r="I433" s="5">
        <f t="shared" si="18"/>
        <v>-1.3453519228123443E-2</v>
      </c>
      <c r="K433" s="5">
        <f t="shared" si="19"/>
        <v>431</v>
      </c>
      <c r="L433" s="5">
        <v>-6.9282066707423741E-3</v>
      </c>
    </row>
    <row r="434" spans="1:12" x14ac:dyDescent="0.25">
      <c r="A434" s="1">
        <v>44357</v>
      </c>
      <c r="B434">
        <v>487.17001342773438</v>
      </c>
      <c r="C434">
        <v>490.20999145507813</v>
      </c>
      <c r="D434">
        <v>482.1400146484375</v>
      </c>
      <c r="E434">
        <v>487.26998901367188</v>
      </c>
      <c r="F434">
        <v>487.26998901367188</v>
      </c>
      <c r="G434">
        <v>4382900</v>
      </c>
      <c r="I434" s="5">
        <f t="shared" si="18"/>
        <v>3.000765755698217E-3</v>
      </c>
      <c r="K434" s="5">
        <f t="shared" si="19"/>
        <v>432</v>
      </c>
      <c r="L434" s="5">
        <v>-6.8501530094750088E-3</v>
      </c>
    </row>
    <row r="435" spans="1:12" x14ac:dyDescent="0.25">
      <c r="A435" s="1">
        <v>44358</v>
      </c>
      <c r="B435">
        <v>490</v>
      </c>
      <c r="C435">
        <v>491.41000366210938</v>
      </c>
      <c r="D435">
        <v>487.77999877929688</v>
      </c>
      <c r="E435">
        <v>488.76998901367188</v>
      </c>
      <c r="F435">
        <v>488.76998901367188</v>
      </c>
      <c r="G435">
        <v>3124000</v>
      </c>
      <c r="I435" s="5">
        <f t="shared" si="18"/>
        <v>3.0736470117641405E-3</v>
      </c>
      <c r="K435" s="5">
        <f t="shared" si="19"/>
        <v>433</v>
      </c>
      <c r="L435" s="5">
        <v>-6.7707084178679948E-3</v>
      </c>
    </row>
    <row r="436" spans="1:12" x14ac:dyDescent="0.25">
      <c r="A436" s="1">
        <v>44361</v>
      </c>
      <c r="B436">
        <v>489.67999267578125</v>
      </c>
      <c r="C436">
        <v>503.5</v>
      </c>
      <c r="D436">
        <v>486.91000366210938</v>
      </c>
      <c r="E436">
        <v>499.8900146484375</v>
      </c>
      <c r="F436">
        <v>499.8900146484375</v>
      </c>
      <c r="G436">
        <v>4400200</v>
      </c>
      <c r="I436" s="5">
        <f t="shared" si="18"/>
        <v>2.2496094821005914E-2</v>
      </c>
      <c r="K436" s="5">
        <f t="shared" si="19"/>
        <v>434</v>
      </c>
      <c r="L436" s="5">
        <v>-6.7158966419217682E-3</v>
      </c>
    </row>
    <row r="437" spans="1:12" x14ac:dyDescent="0.25">
      <c r="A437" s="1">
        <v>44362</v>
      </c>
      <c r="B437">
        <v>501.23001098632813</v>
      </c>
      <c r="C437">
        <v>501.23001098632813</v>
      </c>
      <c r="D437">
        <v>490.39999389648438</v>
      </c>
      <c r="E437">
        <v>491.89999389648438</v>
      </c>
      <c r="F437">
        <v>491.89999389648438</v>
      </c>
      <c r="G437">
        <v>3104100</v>
      </c>
      <c r="I437" s="5">
        <f t="shared" si="18"/>
        <v>-1.6112672128710568E-2</v>
      </c>
      <c r="K437" s="5">
        <f t="shared" si="19"/>
        <v>435</v>
      </c>
      <c r="L437" s="5">
        <v>-6.6910742707626328E-3</v>
      </c>
    </row>
    <row r="438" spans="1:12" x14ac:dyDescent="0.25">
      <c r="A438" s="1">
        <v>44363</v>
      </c>
      <c r="B438">
        <v>495</v>
      </c>
      <c r="C438">
        <v>496.45999145507813</v>
      </c>
      <c r="D438">
        <v>486.27999877929688</v>
      </c>
      <c r="E438">
        <v>492.41000366210938</v>
      </c>
      <c r="F438">
        <v>492.41000366210938</v>
      </c>
      <c r="G438">
        <v>3533200</v>
      </c>
      <c r="I438" s="5">
        <f t="shared" si="18"/>
        <v>1.0362788400615764E-3</v>
      </c>
      <c r="K438" s="5">
        <f t="shared" si="19"/>
        <v>436</v>
      </c>
      <c r="L438" s="5">
        <v>-6.6883146927247897E-3</v>
      </c>
    </row>
    <row r="439" spans="1:12" x14ac:dyDescent="0.25">
      <c r="A439" s="1">
        <v>44364</v>
      </c>
      <c r="B439">
        <v>490.25</v>
      </c>
      <c r="C439">
        <v>501.79998779296875</v>
      </c>
      <c r="D439">
        <v>490.14999389648438</v>
      </c>
      <c r="E439">
        <v>498.33999633789063</v>
      </c>
      <c r="F439">
        <v>498.33999633789063</v>
      </c>
      <c r="G439">
        <v>3198300</v>
      </c>
      <c r="I439" s="5">
        <f t="shared" si="18"/>
        <v>1.1970857411684637E-2</v>
      </c>
      <c r="K439" s="5">
        <f t="shared" si="19"/>
        <v>437</v>
      </c>
      <c r="L439" s="5">
        <v>-6.6608670544282622E-3</v>
      </c>
    </row>
    <row r="440" spans="1:12" x14ac:dyDescent="0.25">
      <c r="A440" s="1">
        <v>44365</v>
      </c>
      <c r="B440">
        <v>496.39999389648438</v>
      </c>
      <c r="C440">
        <v>504.489990234375</v>
      </c>
      <c r="D440">
        <v>495.239990234375</v>
      </c>
      <c r="E440">
        <v>500.76998901367188</v>
      </c>
      <c r="F440">
        <v>500.76998901367188</v>
      </c>
      <c r="G440">
        <v>5197600</v>
      </c>
      <c r="I440" s="5">
        <f t="shared" si="18"/>
        <v>4.8643242543393176E-3</v>
      </c>
      <c r="K440" s="5">
        <f t="shared" si="19"/>
        <v>438</v>
      </c>
      <c r="L440" s="5">
        <v>-6.6202423022202403E-3</v>
      </c>
    </row>
    <row r="441" spans="1:12" x14ac:dyDescent="0.25">
      <c r="A441" s="1">
        <v>44368</v>
      </c>
      <c r="B441">
        <v>501.6400146484375</v>
      </c>
      <c r="C441">
        <v>502.04998779296875</v>
      </c>
      <c r="D441">
        <v>492.27999877929688</v>
      </c>
      <c r="E441">
        <v>497</v>
      </c>
      <c r="F441">
        <v>497</v>
      </c>
      <c r="G441">
        <v>5277300</v>
      </c>
      <c r="I441" s="5">
        <f t="shared" si="18"/>
        <v>-7.5568658027093689E-3</v>
      </c>
      <c r="K441" s="5">
        <f t="shared" si="19"/>
        <v>439</v>
      </c>
      <c r="L441" s="5">
        <v>-6.529209953847594E-3</v>
      </c>
    </row>
    <row r="442" spans="1:12" x14ac:dyDescent="0.25">
      <c r="A442" s="1">
        <v>44369</v>
      </c>
      <c r="B442">
        <v>498.54000854492188</v>
      </c>
      <c r="C442">
        <v>513.54998779296875</v>
      </c>
      <c r="D442">
        <v>495.79998779296875</v>
      </c>
      <c r="E442">
        <v>508.82000732421875</v>
      </c>
      <c r="F442">
        <v>508.82000732421875</v>
      </c>
      <c r="G442">
        <v>5809300</v>
      </c>
      <c r="I442" s="5">
        <f t="shared" si="18"/>
        <v>2.3504307727356285E-2</v>
      </c>
      <c r="K442" s="5">
        <f t="shared" si="19"/>
        <v>440</v>
      </c>
      <c r="L442" s="5">
        <v>-6.4527197870021744E-3</v>
      </c>
    </row>
    <row r="443" spans="1:12" x14ac:dyDescent="0.25">
      <c r="A443" s="1">
        <v>44370</v>
      </c>
      <c r="B443">
        <v>508.48001098632813</v>
      </c>
      <c r="C443">
        <v>516.6300048828125</v>
      </c>
      <c r="D443">
        <v>508.20001220703125</v>
      </c>
      <c r="E443">
        <v>512.739990234375</v>
      </c>
      <c r="F443">
        <v>512.739990234375</v>
      </c>
      <c r="G443">
        <v>3944800</v>
      </c>
      <c r="I443" s="5">
        <f t="shared" si="18"/>
        <v>7.6745412107473224E-3</v>
      </c>
      <c r="K443" s="5">
        <f t="shared" si="19"/>
        <v>441</v>
      </c>
      <c r="L443" s="5">
        <v>-6.4524621935242513E-3</v>
      </c>
    </row>
    <row r="444" spans="1:12" x14ac:dyDescent="0.25">
      <c r="A444" s="1">
        <v>44371</v>
      </c>
      <c r="B444">
        <v>517.96002197265625</v>
      </c>
      <c r="C444">
        <v>520.96002197265625</v>
      </c>
      <c r="D444">
        <v>514.4000244140625</v>
      </c>
      <c r="E444">
        <v>518.05999755859375</v>
      </c>
      <c r="F444">
        <v>518.05999755859375</v>
      </c>
      <c r="G444">
        <v>3361200</v>
      </c>
      <c r="I444" s="5">
        <f t="shared" si="18"/>
        <v>1.0322185920197308E-2</v>
      </c>
      <c r="K444" s="5">
        <f t="shared" si="19"/>
        <v>442</v>
      </c>
      <c r="L444" s="5">
        <v>-6.4195346616449959E-3</v>
      </c>
    </row>
    <row r="445" spans="1:12" x14ac:dyDescent="0.25">
      <c r="A445" s="1">
        <v>44372</v>
      </c>
      <c r="B445">
        <v>528.84002685546875</v>
      </c>
      <c r="C445">
        <v>533.05999755859375</v>
      </c>
      <c r="D445">
        <v>525</v>
      </c>
      <c r="E445">
        <v>527.07000732421875</v>
      </c>
      <c r="F445">
        <v>527.07000732421875</v>
      </c>
      <c r="G445">
        <v>5299100</v>
      </c>
      <c r="I445" s="5">
        <f t="shared" si="18"/>
        <v>1.724231998624523E-2</v>
      </c>
      <c r="K445" s="5">
        <f t="shared" si="19"/>
        <v>443</v>
      </c>
      <c r="L445" s="5">
        <v>-6.3915593063377093E-3</v>
      </c>
    </row>
    <row r="446" spans="1:12" x14ac:dyDescent="0.25">
      <c r="A446" s="1">
        <v>44375</v>
      </c>
      <c r="B446">
        <v>528.1199951171875</v>
      </c>
      <c r="C446">
        <v>533.94000244140625</v>
      </c>
      <c r="D446">
        <v>524.55999755859375</v>
      </c>
      <c r="E446">
        <v>533.030029296875</v>
      </c>
      <c r="F446">
        <v>533.030029296875</v>
      </c>
      <c r="G446">
        <v>2820200</v>
      </c>
      <c r="I446" s="5">
        <f t="shared" si="18"/>
        <v>1.1244381781854013E-2</v>
      </c>
      <c r="K446" s="5">
        <f t="shared" si="19"/>
        <v>444</v>
      </c>
      <c r="L446" s="5">
        <v>-6.3687792865838588E-3</v>
      </c>
    </row>
    <row r="447" spans="1:12" x14ac:dyDescent="0.25">
      <c r="A447" s="1">
        <v>44376</v>
      </c>
      <c r="B447">
        <v>533.54998779296875</v>
      </c>
      <c r="C447">
        <v>536.1300048828125</v>
      </c>
      <c r="D447">
        <v>528.57000732421875</v>
      </c>
      <c r="E447">
        <v>533.5</v>
      </c>
      <c r="F447">
        <v>533.5</v>
      </c>
      <c r="G447">
        <v>2314600</v>
      </c>
      <c r="I447" s="5">
        <f t="shared" si="18"/>
        <v>8.8130801877895628E-4</v>
      </c>
      <c r="K447" s="5">
        <f t="shared" si="19"/>
        <v>445</v>
      </c>
      <c r="L447" s="5">
        <v>-6.3408956891555356E-3</v>
      </c>
    </row>
    <row r="448" spans="1:12" x14ac:dyDescent="0.25">
      <c r="A448" s="1">
        <v>44377</v>
      </c>
      <c r="B448">
        <v>534.05999755859375</v>
      </c>
      <c r="C448">
        <v>534.3800048828125</v>
      </c>
      <c r="D448">
        <v>526.82000732421875</v>
      </c>
      <c r="E448">
        <v>528.21002197265625</v>
      </c>
      <c r="F448">
        <v>528.21002197265625</v>
      </c>
      <c r="G448">
        <v>2773400</v>
      </c>
      <c r="I448" s="5">
        <f t="shared" si="18"/>
        <v>-9.9650972370118902E-3</v>
      </c>
      <c r="K448" s="5">
        <f t="shared" si="19"/>
        <v>446</v>
      </c>
      <c r="L448" s="5">
        <v>-6.221569636080412E-3</v>
      </c>
    </row>
    <row r="449" spans="1:12" x14ac:dyDescent="0.25">
      <c r="A449" s="1">
        <v>44378</v>
      </c>
      <c r="B449">
        <v>525.719970703125</v>
      </c>
      <c r="C449">
        <v>537.03997802734375</v>
      </c>
      <c r="D449">
        <v>525.719970703125</v>
      </c>
      <c r="E449">
        <v>533.53997802734375</v>
      </c>
      <c r="F449">
        <v>533.53997802734375</v>
      </c>
      <c r="G449">
        <v>2805400</v>
      </c>
      <c r="I449" s="5">
        <f t="shared" si="18"/>
        <v>1.0040029813458383E-2</v>
      </c>
      <c r="K449" s="5">
        <f t="shared" si="19"/>
        <v>447</v>
      </c>
      <c r="L449" s="5">
        <v>-6.2011006565175089E-3</v>
      </c>
    </row>
    <row r="450" spans="1:12" x14ac:dyDescent="0.25">
      <c r="A450" s="1">
        <v>44379</v>
      </c>
      <c r="B450">
        <v>535.5</v>
      </c>
      <c r="C450">
        <v>538.53997802734375</v>
      </c>
      <c r="D450">
        <v>529.3900146484375</v>
      </c>
      <c r="E450">
        <v>533.97998046875</v>
      </c>
      <c r="F450">
        <v>533.97998046875</v>
      </c>
      <c r="G450">
        <v>1975500</v>
      </c>
      <c r="I450" s="5">
        <f t="shared" si="18"/>
        <v>8.2434518028664595E-4</v>
      </c>
      <c r="K450" s="5">
        <f t="shared" si="19"/>
        <v>448</v>
      </c>
      <c r="L450" s="5">
        <v>-6.0824569833262728E-3</v>
      </c>
    </row>
    <row r="451" spans="1:12" x14ac:dyDescent="0.25">
      <c r="A451" s="1">
        <v>44383</v>
      </c>
      <c r="B451">
        <v>533</v>
      </c>
      <c r="C451">
        <v>542.8599853515625</v>
      </c>
      <c r="D451">
        <v>533</v>
      </c>
      <c r="E451">
        <v>541.6400146484375</v>
      </c>
      <c r="F451">
        <v>541.6400146484375</v>
      </c>
      <c r="G451">
        <v>2775100</v>
      </c>
      <c r="I451" s="5">
        <f t="shared" si="18"/>
        <v>1.424325266068256E-2</v>
      </c>
      <c r="K451" s="5">
        <f t="shared" si="19"/>
        <v>449</v>
      </c>
      <c r="L451" s="5">
        <v>-6.0799311622439615E-3</v>
      </c>
    </row>
    <row r="452" spans="1:12" x14ac:dyDescent="0.25">
      <c r="A452" s="1">
        <v>44384</v>
      </c>
      <c r="B452">
        <v>544.239990234375</v>
      </c>
      <c r="C452">
        <v>544.6400146484375</v>
      </c>
      <c r="D452">
        <v>531.65997314453125</v>
      </c>
      <c r="E452">
        <v>535.96002197265625</v>
      </c>
      <c r="F452">
        <v>535.96002197265625</v>
      </c>
      <c r="G452">
        <v>2722500</v>
      </c>
      <c r="I452" s="5">
        <f t="shared" ref="I452:I515" si="20">LN(F452/F451)</f>
        <v>-1.0542028741996088E-2</v>
      </c>
      <c r="K452" s="5">
        <f t="shared" ref="K452:K515" si="21">_xlfn.RANK.AVG(L452,_xlfn.ANCHORARRAY($L$3),1)</f>
        <v>450</v>
      </c>
      <c r="L452" s="5">
        <v>-6.0696548826150243E-3</v>
      </c>
    </row>
    <row r="453" spans="1:12" x14ac:dyDescent="0.25">
      <c r="A453" s="1">
        <v>44385</v>
      </c>
      <c r="B453">
        <v>530.92999267578125</v>
      </c>
      <c r="C453">
        <v>535.5</v>
      </c>
      <c r="D453">
        <v>529.09002685546875</v>
      </c>
      <c r="E453">
        <v>530.760009765625</v>
      </c>
      <c r="F453">
        <v>530.760009765625</v>
      </c>
      <c r="G453">
        <v>3269000</v>
      </c>
      <c r="I453" s="5">
        <f t="shared" si="20"/>
        <v>-9.7496123496683545E-3</v>
      </c>
      <c r="K453" s="5">
        <f t="shared" si="21"/>
        <v>451</v>
      </c>
      <c r="L453" s="5">
        <v>-6.0675697505117561E-3</v>
      </c>
    </row>
    <row r="454" spans="1:12" x14ac:dyDescent="0.25">
      <c r="A454" s="1">
        <v>44386</v>
      </c>
      <c r="B454">
        <v>531</v>
      </c>
      <c r="C454">
        <v>538.260009765625</v>
      </c>
      <c r="D454">
        <v>528.58001708984375</v>
      </c>
      <c r="E454">
        <v>535.97998046875</v>
      </c>
      <c r="F454">
        <v>535.97998046875</v>
      </c>
      <c r="G454">
        <v>2777200</v>
      </c>
      <c r="I454" s="5">
        <f t="shared" si="20"/>
        <v>9.7868504339838434E-3</v>
      </c>
      <c r="K454" s="5">
        <f t="shared" si="21"/>
        <v>452</v>
      </c>
      <c r="L454" s="5">
        <v>-6.0404027105058601E-3</v>
      </c>
    </row>
    <row r="455" spans="1:12" x14ac:dyDescent="0.25">
      <c r="A455" s="1">
        <v>44389</v>
      </c>
      <c r="B455">
        <v>540.29998779296875</v>
      </c>
      <c r="C455">
        <v>540.6500244140625</v>
      </c>
      <c r="D455">
        <v>532.91998291015625</v>
      </c>
      <c r="E455">
        <v>537.30999755859375</v>
      </c>
      <c r="F455">
        <v>537.30999755859375</v>
      </c>
      <c r="G455">
        <v>1780700</v>
      </c>
      <c r="I455" s="5">
        <f t="shared" si="20"/>
        <v>2.4783940926826091E-3</v>
      </c>
      <c r="K455" s="5">
        <f t="shared" si="21"/>
        <v>453</v>
      </c>
      <c r="L455" s="5">
        <v>-6.0280496543542381E-3</v>
      </c>
    </row>
    <row r="456" spans="1:12" x14ac:dyDescent="0.25">
      <c r="A456" s="1">
        <v>44390</v>
      </c>
      <c r="B456">
        <v>535.760009765625</v>
      </c>
      <c r="C456">
        <v>545.33001708984375</v>
      </c>
      <c r="D456">
        <v>535.760009765625</v>
      </c>
      <c r="E456">
        <v>540.67999267578125</v>
      </c>
      <c r="F456">
        <v>540.67999267578125</v>
      </c>
      <c r="G456">
        <v>2751600</v>
      </c>
      <c r="I456" s="5">
        <f t="shared" si="20"/>
        <v>6.2523884750913371E-3</v>
      </c>
      <c r="K456" s="5">
        <f t="shared" si="21"/>
        <v>454</v>
      </c>
      <c r="L456" s="5">
        <v>-6.0123116291164753E-3</v>
      </c>
    </row>
    <row r="457" spans="1:12" x14ac:dyDescent="0.25">
      <c r="A457" s="1">
        <v>44391</v>
      </c>
      <c r="B457">
        <v>541.010009765625</v>
      </c>
      <c r="C457">
        <v>554.0999755859375</v>
      </c>
      <c r="D457">
        <v>541.010009765625</v>
      </c>
      <c r="E457">
        <v>547.95001220703125</v>
      </c>
      <c r="F457">
        <v>547.95001220703125</v>
      </c>
      <c r="G457">
        <v>4659500</v>
      </c>
      <c r="I457" s="5">
        <f t="shared" si="20"/>
        <v>1.3356471117720852E-2</v>
      </c>
      <c r="K457" s="5">
        <f t="shared" si="21"/>
        <v>455</v>
      </c>
      <c r="L457" s="5">
        <v>-5.9871553825445881E-3</v>
      </c>
    </row>
    <row r="458" spans="1:12" x14ac:dyDescent="0.25">
      <c r="A458" s="1">
        <v>44392</v>
      </c>
      <c r="B458">
        <v>553.969970703125</v>
      </c>
      <c r="C458">
        <v>557.53997802734375</v>
      </c>
      <c r="D458">
        <v>538.20001220703125</v>
      </c>
      <c r="E458">
        <v>542.95001220703125</v>
      </c>
      <c r="F458">
        <v>542.95001220703125</v>
      </c>
      <c r="G458">
        <v>5713900</v>
      </c>
      <c r="I458" s="5">
        <f t="shared" si="20"/>
        <v>-9.1668070413380362E-3</v>
      </c>
      <c r="K458" s="5">
        <f t="shared" si="21"/>
        <v>456</v>
      </c>
      <c r="L458" s="5">
        <v>-5.8949322361166309E-3</v>
      </c>
    </row>
    <row r="459" spans="1:12" x14ac:dyDescent="0.25">
      <c r="A459" s="1">
        <v>44393</v>
      </c>
      <c r="B459">
        <v>541.80999755859375</v>
      </c>
      <c r="C459">
        <v>544.05999755859375</v>
      </c>
      <c r="D459">
        <v>527.04998779296875</v>
      </c>
      <c r="E459">
        <v>530.30999755859375</v>
      </c>
      <c r="F459">
        <v>530.30999755859375</v>
      </c>
      <c r="G459">
        <v>3442100</v>
      </c>
      <c r="I459" s="5">
        <f t="shared" si="20"/>
        <v>-2.3555520533532721E-2</v>
      </c>
      <c r="K459" s="5">
        <f t="shared" si="21"/>
        <v>457</v>
      </c>
      <c r="L459" s="5">
        <v>-5.8753676519997886E-3</v>
      </c>
    </row>
    <row r="460" spans="1:12" x14ac:dyDescent="0.25">
      <c r="A460" s="1">
        <v>44396</v>
      </c>
      <c r="B460">
        <v>526.04998779296875</v>
      </c>
      <c r="C460">
        <v>534.90997314453125</v>
      </c>
      <c r="D460">
        <v>522.239990234375</v>
      </c>
      <c r="E460">
        <v>532.280029296875</v>
      </c>
      <c r="F460">
        <v>532.280029296875</v>
      </c>
      <c r="G460">
        <v>3885800</v>
      </c>
      <c r="I460" s="5">
        <f t="shared" si="20"/>
        <v>3.7079851037181617E-3</v>
      </c>
      <c r="K460" s="5">
        <f t="shared" si="21"/>
        <v>458</v>
      </c>
      <c r="L460" s="5">
        <v>-5.7928457186314395E-3</v>
      </c>
    </row>
    <row r="461" spans="1:12" x14ac:dyDescent="0.25">
      <c r="A461" s="1">
        <v>44397</v>
      </c>
      <c r="B461">
        <v>526.07000732421875</v>
      </c>
      <c r="C461">
        <v>536.6400146484375</v>
      </c>
      <c r="D461">
        <v>520.29998779296875</v>
      </c>
      <c r="E461">
        <v>531.04998779296875</v>
      </c>
      <c r="F461">
        <v>531.04998779296875</v>
      </c>
      <c r="G461">
        <v>6930400</v>
      </c>
      <c r="I461" s="5">
        <f t="shared" si="20"/>
        <v>-2.3135659349321209E-3</v>
      </c>
      <c r="K461" s="5">
        <f t="shared" si="21"/>
        <v>459</v>
      </c>
      <c r="L461" s="5">
        <v>-5.766654032176694E-3</v>
      </c>
    </row>
    <row r="462" spans="1:12" x14ac:dyDescent="0.25">
      <c r="A462" s="1">
        <v>44398</v>
      </c>
      <c r="B462">
        <v>526.1300048828125</v>
      </c>
      <c r="C462">
        <v>530.989990234375</v>
      </c>
      <c r="D462">
        <v>505.6099853515625</v>
      </c>
      <c r="E462">
        <v>513.6300048828125</v>
      </c>
      <c r="F462">
        <v>513.6300048828125</v>
      </c>
      <c r="G462">
        <v>11906800</v>
      </c>
      <c r="I462" s="5">
        <f t="shared" si="20"/>
        <v>-3.3352984389638983E-2</v>
      </c>
      <c r="K462" s="5">
        <f t="shared" si="21"/>
        <v>460</v>
      </c>
      <c r="L462" s="5">
        <v>-5.7662325101269932E-3</v>
      </c>
    </row>
    <row r="463" spans="1:12" x14ac:dyDescent="0.25">
      <c r="A463" s="1">
        <v>44399</v>
      </c>
      <c r="B463">
        <v>510.20999145507813</v>
      </c>
      <c r="C463">
        <v>513.67999267578125</v>
      </c>
      <c r="D463">
        <v>507</v>
      </c>
      <c r="E463">
        <v>511.76998901367188</v>
      </c>
      <c r="F463">
        <v>511.76998901367188</v>
      </c>
      <c r="G463">
        <v>4328100</v>
      </c>
      <c r="I463" s="5">
        <f t="shared" si="20"/>
        <v>-3.6278874980925119E-3</v>
      </c>
      <c r="K463" s="5">
        <f t="shared" si="21"/>
        <v>461</v>
      </c>
      <c r="L463" s="5">
        <v>-5.6834591012005177E-3</v>
      </c>
    </row>
    <row r="464" spans="1:12" x14ac:dyDescent="0.25">
      <c r="A464" s="1">
        <v>44400</v>
      </c>
      <c r="B464">
        <v>512.15997314453125</v>
      </c>
      <c r="C464">
        <v>517.40997314453125</v>
      </c>
      <c r="D464">
        <v>504.66000366210938</v>
      </c>
      <c r="E464">
        <v>515.40997314453125</v>
      </c>
      <c r="F464">
        <v>515.40997314453125</v>
      </c>
      <c r="G464">
        <v>3820500</v>
      </c>
      <c r="I464" s="5">
        <f t="shared" si="20"/>
        <v>7.0873644376557706E-3</v>
      </c>
      <c r="K464" s="5">
        <f t="shared" si="21"/>
        <v>462</v>
      </c>
      <c r="L464" s="5">
        <v>-5.6751146517124264E-3</v>
      </c>
    </row>
    <row r="465" spans="1:12" x14ac:dyDescent="0.25">
      <c r="A465" s="1">
        <v>44403</v>
      </c>
      <c r="B465">
        <v>514.3800048828125</v>
      </c>
      <c r="C465">
        <v>521.1300048828125</v>
      </c>
      <c r="D465">
        <v>509.010009765625</v>
      </c>
      <c r="E465">
        <v>516.489990234375</v>
      </c>
      <c r="F465">
        <v>516.489990234375</v>
      </c>
      <c r="G465">
        <v>2254500</v>
      </c>
      <c r="I465" s="5">
        <f t="shared" si="20"/>
        <v>2.0932600494914131E-3</v>
      </c>
      <c r="K465" s="5">
        <f t="shared" si="21"/>
        <v>463</v>
      </c>
      <c r="L465" s="5">
        <v>-5.6459972726278498E-3</v>
      </c>
    </row>
    <row r="466" spans="1:12" x14ac:dyDescent="0.25">
      <c r="A466" s="1">
        <v>44404</v>
      </c>
      <c r="B466">
        <v>518.08001708984375</v>
      </c>
      <c r="C466">
        <v>521.95001220703125</v>
      </c>
      <c r="D466">
        <v>512.04998779296875</v>
      </c>
      <c r="E466">
        <v>518.90997314453125</v>
      </c>
      <c r="F466">
        <v>518.90997314453125</v>
      </c>
      <c r="G466">
        <v>2759000</v>
      </c>
      <c r="I466" s="5">
        <f t="shared" si="20"/>
        <v>4.6744975899553586E-3</v>
      </c>
      <c r="K466" s="5">
        <f t="shared" si="21"/>
        <v>464</v>
      </c>
      <c r="L466" s="5">
        <v>-5.641739333526464E-3</v>
      </c>
    </row>
    <row r="467" spans="1:12" x14ac:dyDescent="0.25">
      <c r="A467" s="1">
        <v>44405</v>
      </c>
      <c r="B467">
        <v>521.82000732421875</v>
      </c>
      <c r="C467">
        <v>524.469970703125</v>
      </c>
      <c r="D467">
        <v>516.97998046875</v>
      </c>
      <c r="E467">
        <v>519.29998779296875</v>
      </c>
      <c r="F467">
        <v>519.29998779296875</v>
      </c>
      <c r="G467">
        <v>2390500</v>
      </c>
      <c r="I467" s="5">
        <f t="shared" si="20"/>
        <v>7.5132137324468592E-4</v>
      </c>
      <c r="K467" s="5">
        <f t="shared" si="21"/>
        <v>465</v>
      </c>
      <c r="L467" s="5">
        <v>-5.5969522020035863E-3</v>
      </c>
    </row>
    <row r="468" spans="1:12" x14ac:dyDescent="0.25">
      <c r="A468" s="1">
        <v>44406</v>
      </c>
      <c r="B468">
        <v>519.96002197265625</v>
      </c>
      <c r="C468">
        <v>520.780029296875</v>
      </c>
      <c r="D468">
        <v>513.78997802734375</v>
      </c>
      <c r="E468">
        <v>514.25</v>
      </c>
      <c r="F468">
        <v>514.25</v>
      </c>
      <c r="G468">
        <v>1736000</v>
      </c>
      <c r="I468" s="5">
        <f t="shared" si="20"/>
        <v>-9.7721988105026903E-3</v>
      </c>
      <c r="K468" s="5">
        <f t="shared" si="21"/>
        <v>466</v>
      </c>
      <c r="L468" s="5">
        <v>-5.5857153469968815E-3</v>
      </c>
    </row>
    <row r="469" spans="1:12" x14ac:dyDescent="0.25">
      <c r="A469" s="1">
        <v>44407</v>
      </c>
      <c r="B469">
        <v>512.69000244140625</v>
      </c>
      <c r="C469">
        <v>519.78997802734375</v>
      </c>
      <c r="D469">
        <v>510.95999145507813</v>
      </c>
      <c r="E469">
        <v>517.57000732421875</v>
      </c>
      <c r="F469">
        <v>517.57000732421875</v>
      </c>
      <c r="G469">
        <v>2537100</v>
      </c>
      <c r="I469" s="5">
        <f t="shared" si="20"/>
        <v>6.4352673105260551E-3</v>
      </c>
      <c r="K469" s="5">
        <f t="shared" si="21"/>
        <v>467</v>
      </c>
      <c r="L469" s="5">
        <v>-5.5811526470830562E-3</v>
      </c>
    </row>
    <row r="470" spans="1:12" x14ac:dyDescent="0.25">
      <c r="A470" s="1">
        <v>44410</v>
      </c>
      <c r="B470">
        <v>519</v>
      </c>
      <c r="C470">
        <v>519.8499755859375</v>
      </c>
      <c r="D470">
        <v>510.510009765625</v>
      </c>
      <c r="E470">
        <v>515.1500244140625</v>
      </c>
      <c r="F470">
        <v>515.1500244140625</v>
      </c>
      <c r="G470">
        <v>2096600</v>
      </c>
      <c r="I470" s="5">
        <f t="shared" si="20"/>
        <v>-4.686628060373732E-3</v>
      </c>
      <c r="K470" s="5">
        <f t="shared" si="21"/>
        <v>468</v>
      </c>
      <c r="L470" s="5">
        <v>-5.5170058791626968E-3</v>
      </c>
    </row>
    <row r="471" spans="1:12" x14ac:dyDescent="0.25">
      <c r="A471" s="1">
        <v>44411</v>
      </c>
      <c r="B471">
        <v>514.3900146484375</v>
      </c>
      <c r="C471">
        <v>515.6300048828125</v>
      </c>
      <c r="D471">
        <v>505.3699951171875</v>
      </c>
      <c r="E471">
        <v>510.82000732421875</v>
      </c>
      <c r="F471">
        <v>510.82000732421875</v>
      </c>
      <c r="G471">
        <v>2579400</v>
      </c>
      <c r="I471" s="5">
        <f t="shared" si="20"/>
        <v>-8.4408757853683333E-3</v>
      </c>
      <c r="K471" s="5">
        <f t="shared" si="21"/>
        <v>469</v>
      </c>
      <c r="L471" s="5">
        <v>-5.4552003761422401E-3</v>
      </c>
    </row>
    <row r="472" spans="1:12" x14ac:dyDescent="0.25">
      <c r="A472" s="1">
        <v>44412</v>
      </c>
      <c r="B472">
        <v>513</v>
      </c>
      <c r="C472">
        <v>517.97998046875</v>
      </c>
      <c r="D472">
        <v>510.3699951171875</v>
      </c>
      <c r="E472">
        <v>517.3499755859375</v>
      </c>
      <c r="F472">
        <v>517.3499755859375</v>
      </c>
      <c r="G472">
        <v>2039400</v>
      </c>
      <c r="I472" s="5">
        <f t="shared" si="20"/>
        <v>1.2702288862496943E-2</v>
      </c>
      <c r="K472" s="5">
        <f t="shared" si="21"/>
        <v>470</v>
      </c>
      <c r="L472" s="5">
        <v>-5.4539484813644701E-3</v>
      </c>
    </row>
    <row r="473" spans="1:12" x14ac:dyDescent="0.25">
      <c r="A473" s="1">
        <v>44413</v>
      </c>
      <c r="B473">
        <v>517.1300048828125</v>
      </c>
      <c r="C473">
        <v>525.40997314453125</v>
      </c>
      <c r="D473">
        <v>514.02001953125</v>
      </c>
      <c r="E473">
        <v>524.8900146484375</v>
      </c>
      <c r="F473">
        <v>524.8900146484375</v>
      </c>
      <c r="G473">
        <v>2556700</v>
      </c>
      <c r="I473" s="5">
        <f t="shared" si="20"/>
        <v>1.4469163876204883E-2</v>
      </c>
      <c r="K473" s="5">
        <f t="shared" si="21"/>
        <v>471</v>
      </c>
      <c r="L473" s="5">
        <v>-5.3823473714757217E-3</v>
      </c>
    </row>
    <row r="474" spans="1:12" x14ac:dyDescent="0.25">
      <c r="A474" s="1">
        <v>44414</v>
      </c>
      <c r="B474">
        <v>524</v>
      </c>
      <c r="C474">
        <v>526.84002685546875</v>
      </c>
      <c r="D474">
        <v>519.3900146484375</v>
      </c>
      <c r="E474">
        <v>520.54998779296875</v>
      </c>
      <c r="F474">
        <v>520.54998779296875</v>
      </c>
      <c r="G474">
        <v>1919800</v>
      </c>
      <c r="I474" s="5">
        <f t="shared" si="20"/>
        <v>-8.3028232660479553E-3</v>
      </c>
      <c r="K474" s="5">
        <f t="shared" si="21"/>
        <v>472</v>
      </c>
      <c r="L474" s="5">
        <v>-5.2243116871423037E-3</v>
      </c>
    </row>
    <row r="475" spans="1:12" x14ac:dyDescent="0.25">
      <c r="A475" s="1">
        <v>44417</v>
      </c>
      <c r="B475">
        <v>521.1500244140625</v>
      </c>
      <c r="C475">
        <v>522.66998291015625</v>
      </c>
      <c r="D475">
        <v>517.989990234375</v>
      </c>
      <c r="E475">
        <v>519.969970703125</v>
      </c>
      <c r="F475">
        <v>519.969970703125</v>
      </c>
      <c r="G475">
        <v>1367800</v>
      </c>
      <c r="I475" s="5">
        <f t="shared" si="20"/>
        <v>-1.1148602103855376E-3</v>
      </c>
      <c r="K475" s="5">
        <f t="shared" si="21"/>
        <v>473</v>
      </c>
      <c r="L475" s="5">
        <v>-5.1344854853415537E-3</v>
      </c>
    </row>
    <row r="476" spans="1:12" x14ac:dyDescent="0.25">
      <c r="A476" s="1">
        <v>44418</v>
      </c>
      <c r="B476">
        <v>520</v>
      </c>
      <c r="C476">
        <v>520.78997802734375</v>
      </c>
      <c r="D476">
        <v>512.969970703125</v>
      </c>
      <c r="E476">
        <v>515.84002685546875</v>
      </c>
      <c r="F476">
        <v>515.84002685546875</v>
      </c>
      <c r="G476">
        <v>1960500</v>
      </c>
      <c r="I476" s="5">
        <f t="shared" si="20"/>
        <v>-7.9743693202865285E-3</v>
      </c>
      <c r="K476" s="5">
        <f t="shared" si="21"/>
        <v>474</v>
      </c>
      <c r="L476" s="5">
        <v>-5.1170831335472389E-3</v>
      </c>
    </row>
    <row r="477" spans="1:12" x14ac:dyDescent="0.25">
      <c r="A477" s="1">
        <v>44419</v>
      </c>
      <c r="B477">
        <v>517</v>
      </c>
      <c r="C477">
        <v>519.57000732421875</v>
      </c>
      <c r="D477">
        <v>509.76998901367188</v>
      </c>
      <c r="E477">
        <v>512.4000244140625</v>
      </c>
      <c r="F477">
        <v>512.4000244140625</v>
      </c>
      <c r="G477">
        <v>1673900</v>
      </c>
      <c r="I477" s="5">
        <f t="shared" si="20"/>
        <v>-6.6910742707626328E-3</v>
      </c>
      <c r="K477" s="5">
        <f t="shared" si="21"/>
        <v>475</v>
      </c>
      <c r="L477" s="5">
        <v>-5.1133538128151678E-3</v>
      </c>
    </row>
    <row r="478" spans="1:12" x14ac:dyDescent="0.25">
      <c r="A478" s="1">
        <v>44420</v>
      </c>
      <c r="B478">
        <v>511.8599853515625</v>
      </c>
      <c r="C478">
        <v>513</v>
      </c>
      <c r="D478">
        <v>507.20001220703125</v>
      </c>
      <c r="E478">
        <v>510.72000122070313</v>
      </c>
      <c r="F478">
        <v>510.72000122070313</v>
      </c>
      <c r="G478">
        <v>1685700</v>
      </c>
      <c r="I478" s="5">
        <f t="shared" si="20"/>
        <v>-3.2841204575195806E-3</v>
      </c>
      <c r="K478" s="5">
        <f t="shared" si="21"/>
        <v>476</v>
      </c>
      <c r="L478" s="5">
        <v>-5.0777027389332886E-3</v>
      </c>
    </row>
    <row r="479" spans="1:12" x14ac:dyDescent="0.25">
      <c r="A479" s="1">
        <v>44421</v>
      </c>
      <c r="B479">
        <v>512.6400146484375</v>
      </c>
      <c r="C479">
        <v>521.44000244140625</v>
      </c>
      <c r="D479">
        <v>511.510009765625</v>
      </c>
      <c r="E479">
        <v>515.91998291015625</v>
      </c>
      <c r="F479">
        <v>515.91998291015625</v>
      </c>
      <c r="G479">
        <v>2177700</v>
      </c>
      <c r="I479" s="5">
        <f t="shared" si="20"/>
        <v>1.0130184365582951E-2</v>
      </c>
      <c r="K479" s="5">
        <f t="shared" si="21"/>
        <v>477</v>
      </c>
      <c r="L479" s="5">
        <v>-5.070001683600325E-3</v>
      </c>
    </row>
    <row r="480" spans="1:12" x14ac:dyDescent="0.25">
      <c r="A480" s="1">
        <v>44424</v>
      </c>
      <c r="B480">
        <v>515.239990234375</v>
      </c>
      <c r="C480">
        <v>523.3800048828125</v>
      </c>
      <c r="D480">
        <v>512.29998779296875</v>
      </c>
      <c r="E480">
        <v>517.91998291015625</v>
      </c>
      <c r="F480">
        <v>517.91998291015625</v>
      </c>
      <c r="G480">
        <v>2032800</v>
      </c>
      <c r="I480" s="5">
        <f t="shared" si="20"/>
        <v>3.8690756037277996E-3</v>
      </c>
      <c r="K480" s="5">
        <f t="shared" si="21"/>
        <v>478</v>
      </c>
      <c r="L480" s="5">
        <v>-5.0661278616422516E-3</v>
      </c>
    </row>
    <row r="481" spans="1:12" x14ac:dyDescent="0.25">
      <c r="A481" s="1">
        <v>44425</v>
      </c>
      <c r="B481">
        <v>515.469970703125</v>
      </c>
      <c r="C481">
        <v>520.78997802734375</v>
      </c>
      <c r="D481">
        <v>514.20001220703125</v>
      </c>
      <c r="E481">
        <v>518.90997314453125</v>
      </c>
      <c r="F481">
        <v>518.90997314453125</v>
      </c>
      <c r="G481">
        <v>2309800</v>
      </c>
      <c r="I481" s="5">
        <f t="shared" si="20"/>
        <v>1.9096487894633681E-3</v>
      </c>
      <c r="K481" s="5">
        <f t="shared" si="21"/>
        <v>479</v>
      </c>
      <c r="L481" s="5">
        <v>-4.9676780085543184E-3</v>
      </c>
    </row>
    <row r="482" spans="1:12" x14ac:dyDescent="0.25">
      <c r="A482" s="1">
        <v>44426</v>
      </c>
      <c r="B482">
        <v>520</v>
      </c>
      <c r="C482">
        <v>526.3800048828125</v>
      </c>
      <c r="D482">
        <v>518.6500244140625</v>
      </c>
      <c r="E482">
        <v>521.8699951171875</v>
      </c>
      <c r="F482">
        <v>521.8699951171875</v>
      </c>
      <c r="G482">
        <v>2582000</v>
      </c>
      <c r="I482" s="5">
        <f t="shared" si="20"/>
        <v>5.6880993941982689E-3</v>
      </c>
      <c r="K482" s="5">
        <f t="shared" si="21"/>
        <v>480</v>
      </c>
      <c r="L482" s="5">
        <v>-4.9628826919014034E-3</v>
      </c>
    </row>
    <row r="483" spans="1:12" x14ac:dyDescent="0.25">
      <c r="A483" s="1">
        <v>44427</v>
      </c>
      <c r="B483">
        <v>522.739990234375</v>
      </c>
      <c r="C483">
        <v>548.3900146484375</v>
      </c>
      <c r="D483">
        <v>521.8699951171875</v>
      </c>
      <c r="E483">
        <v>543.71002197265625</v>
      </c>
      <c r="F483">
        <v>543.71002197265625</v>
      </c>
      <c r="G483">
        <v>7497300</v>
      </c>
      <c r="I483" s="5">
        <f t="shared" si="20"/>
        <v>4.0997551526528717E-2</v>
      </c>
      <c r="K483" s="5">
        <f t="shared" si="21"/>
        <v>481</v>
      </c>
      <c r="L483" s="5">
        <v>-4.9018102532516362E-3</v>
      </c>
    </row>
    <row r="484" spans="1:12" x14ac:dyDescent="0.25">
      <c r="A484" s="1">
        <v>44428</v>
      </c>
      <c r="B484">
        <v>545.09002685546875</v>
      </c>
      <c r="C484">
        <v>551.3900146484375</v>
      </c>
      <c r="D484">
        <v>539.0999755859375</v>
      </c>
      <c r="E484">
        <v>546.8800048828125</v>
      </c>
      <c r="F484">
        <v>546.8800048828125</v>
      </c>
      <c r="G484">
        <v>3776400</v>
      </c>
      <c r="I484" s="5">
        <f t="shared" si="20"/>
        <v>5.813351964664315E-3</v>
      </c>
      <c r="K484" s="5">
        <f t="shared" si="21"/>
        <v>482</v>
      </c>
      <c r="L484" s="5">
        <v>-4.8915787124493354E-3</v>
      </c>
    </row>
    <row r="485" spans="1:12" x14ac:dyDescent="0.25">
      <c r="A485" s="1">
        <v>44431</v>
      </c>
      <c r="B485">
        <v>545.97998046875</v>
      </c>
      <c r="C485">
        <v>555.54998779296875</v>
      </c>
      <c r="D485">
        <v>543.739990234375</v>
      </c>
      <c r="E485">
        <v>553.33001708984375</v>
      </c>
      <c r="F485">
        <v>553.33001708984375</v>
      </c>
      <c r="G485">
        <v>2602000</v>
      </c>
      <c r="I485" s="5">
        <f t="shared" si="20"/>
        <v>1.1725190597678218E-2</v>
      </c>
      <c r="K485" s="5">
        <f t="shared" si="21"/>
        <v>483</v>
      </c>
      <c r="L485" s="5">
        <v>-4.8747030778227424E-3</v>
      </c>
    </row>
    <row r="486" spans="1:12" x14ac:dyDescent="0.25">
      <c r="A486" s="1">
        <v>44432</v>
      </c>
      <c r="B486">
        <v>551.47998046875</v>
      </c>
      <c r="C486">
        <v>555.30999755859375</v>
      </c>
      <c r="D486">
        <v>549.27001953125</v>
      </c>
      <c r="E486">
        <v>553.40997314453125</v>
      </c>
      <c r="F486">
        <v>553.40997314453125</v>
      </c>
      <c r="G486">
        <v>2109500</v>
      </c>
      <c r="I486" s="5">
        <f t="shared" si="20"/>
        <v>1.4448932094635178E-4</v>
      </c>
      <c r="K486" s="5">
        <f t="shared" si="21"/>
        <v>484</v>
      </c>
      <c r="L486" s="5">
        <v>-4.8166212859084047E-3</v>
      </c>
    </row>
    <row r="487" spans="1:12" x14ac:dyDescent="0.25">
      <c r="A487" s="1">
        <v>44433</v>
      </c>
      <c r="B487">
        <v>550.15997314453125</v>
      </c>
      <c r="C487">
        <v>552.84002685546875</v>
      </c>
      <c r="D487">
        <v>545.45001220703125</v>
      </c>
      <c r="E487">
        <v>547.58001708984375</v>
      </c>
      <c r="F487">
        <v>547.58001708984375</v>
      </c>
      <c r="G487">
        <v>2065600</v>
      </c>
      <c r="I487" s="5">
        <f t="shared" si="20"/>
        <v>-1.0590487826758347E-2</v>
      </c>
      <c r="K487" s="5">
        <f t="shared" si="21"/>
        <v>485</v>
      </c>
      <c r="L487" s="5">
        <v>-4.8091992630335464E-3</v>
      </c>
    </row>
    <row r="488" spans="1:12" x14ac:dyDescent="0.25">
      <c r="A488" s="1">
        <v>44434</v>
      </c>
      <c r="B488">
        <v>546.15997314453125</v>
      </c>
      <c r="C488">
        <v>552.5999755859375</v>
      </c>
      <c r="D488">
        <v>545.9000244140625</v>
      </c>
      <c r="E488">
        <v>550.1199951171875</v>
      </c>
      <c r="F488">
        <v>550.1199951171875</v>
      </c>
      <c r="G488">
        <v>1595500</v>
      </c>
      <c r="I488" s="5">
        <f t="shared" si="20"/>
        <v>4.6278264230205359E-3</v>
      </c>
      <c r="K488" s="5">
        <f t="shared" si="21"/>
        <v>486</v>
      </c>
      <c r="L488" s="5">
        <v>-4.7633558237282761E-3</v>
      </c>
    </row>
    <row r="489" spans="1:12" x14ac:dyDescent="0.25">
      <c r="A489" s="1">
        <v>44435</v>
      </c>
      <c r="B489">
        <v>551.5999755859375</v>
      </c>
      <c r="C489">
        <v>564.16998291015625</v>
      </c>
      <c r="D489">
        <v>549.25</v>
      </c>
      <c r="E489">
        <v>558.91998291015625</v>
      </c>
      <c r="F489">
        <v>558.91998291015625</v>
      </c>
      <c r="G489">
        <v>3252600</v>
      </c>
      <c r="I489" s="5">
        <f t="shared" si="20"/>
        <v>1.5869892265096972E-2</v>
      </c>
      <c r="K489" s="5">
        <f t="shared" si="21"/>
        <v>487</v>
      </c>
      <c r="L489" s="5">
        <v>-4.732496187211035E-3</v>
      </c>
    </row>
    <row r="490" spans="1:12" x14ac:dyDescent="0.25">
      <c r="A490" s="1">
        <v>44438</v>
      </c>
      <c r="B490">
        <v>557.25</v>
      </c>
      <c r="C490">
        <v>567.15997314453125</v>
      </c>
      <c r="D490">
        <v>556.45001220703125</v>
      </c>
      <c r="E490">
        <v>566.17999267578125</v>
      </c>
      <c r="F490">
        <v>566.17999267578125</v>
      </c>
      <c r="G490">
        <v>2434800</v>
      </c>
      <c r="I490" s="5">
        <f t="shared" si="20"/>
        <v>1.2905716274671348E-2</v>
      </c>
      <c r="K490" s="5">
        <f t="shared" si="21"/>
        <v>488</v>
      </c>
      <c r="L490" s="5">
        <v>-4.686628060373732E-3</v>
      </c>
    </row>
    <row r="491" spans="1:12" x14ac:dyDescent="0.25">
      <c r="A491" s="1">
        <v>44439</v>
      </c>
      <c r="B491">
        <v>566.1199951171875</v>
      </c>
      <c r="C491">
        <v>569.47998046875</v>
      </c>
      <c r="D491">
        <v>561.6099853515625</v>
      </c>
      <c r="E491">
        <v>569.19000244140625</v>
      </c>
      <c r="F491">
        <v>569.19000244140625</v>
      </c>
      <c r="G491">
        <v>2431900</v>
      </c>
      <c r="I491" s="5">
        <f t="shared" si="20"/>
        <v>5.3022659230451685E-3</v>
      </c>
      <c r="K491" s="5">
        <f t="shared" si="21"/>
        <v>489</v>
      </c>
      <c r="L491" s="5">
        <v>-4.6858770849970083E-3</v>
      </c>
    </row>
    <row r="492" spans="1:12" x14ac:dyDescent="0.25">
      <c r="A492" s="1">
        <v>44440</v>
      </c>
      <c r="B492">
        <v>569</v>
      </c>
      <c r="C492">
        <v>591</v>
      </c>
      <c r="D492">
        <v>569</v>
      </c>
      <c r="E492">
        <v>582.07000732421875</v>
      </c>
      <c r="F492">
        <v>582.07000732421875</v>
      </c>
      <c r="G492">
        <v>5626200</v>
      </c>
      <c r="I492" s="5">
        <f t="shared" si="20"/>
        <v>2.2376426162718368E-2</v>
      </c>
      <c r="K492" s="5">
        <f t="shared" si="21"/>
        <v>490</v>
      </c>
      <c r="L492" s="5">
        <v>-4.6820848213315015E-3</v>
      </c>
    </row>
    <row r="493" spans="1:12" x14ac:dyDescent="0.25">
      <c r="A493" s="1">
        <v>44441</v>
      </c>
      <c r="B493">
        <v>583.67999267578125</v>
      </c>
      <c r="C493">
        <v>598.760009765625</v>
      </c>
      <c r="D493">
        <v>583.67999267578125</v>
      </c>
      <c r="E493">
        <v>588.54998779296875</v>
      </c>
      <c r="F493">
        <v>588.54998779296875</v>
      </c>
      <c r="G493">
        <v>6179900</v>
      </c>
      <c r="I493" s="5">
        <f t="shared" si="20"/>
        <v>1.1071136121498274E-2</v>
      </c>
      <c r="K493" s="5">
        <f t="shared" si="21"/>
        <v>491</v>
      </c>
      <c r="L493" s="5">
        <v>-4.6521075405693765E-3</v>
      </c>
    </row>
    <row r="494" spans="1:12" x14ac:dyDescent="0.25">
      <c r="A494" s="1">
        <v>44442</v>
      </c>
      <c r="B494">
        <v>585.79998779296875</v>
      </c>
      <c r="C494">
        <v>591.8800048828125</v>
      </c>
      <c r="D494">
        <v>583.1400146484375</v>
      </c>
      <c r="E494">
        <v>590.530029296875</v>
      </c>
      <c r="F494">
        <v>590.530029296875</v>
      </c>
      <c r="G494">
        <v>2681200</v>
      </c>
      <c r="I494" s="5">
        <f t="shared" si="20"/>
        <v>3.3586242434857816E-3</v>
      </c>
      <c r="K494" s="5">
        <f t="shared" si="21"/>
        <v>492</v>
      </c>
      <c r="L494" s="5">
        <v>-4.6033545806712615E-3</v>
      </c>
    </row>
    <row r="495" spans="1:12" x14ac:dyDescent="0.25">
      <c r="A495" s="1">
        <v>44446</v>
      </c>
      <c r="B495">
        <v>594.69000244140625</v>
      </c>
      <c r="C495">
        <v>613.8499755859375</v>
      </c>
      <c r="D495">
        <v>593.989990234375</v>
      </c>
      <c r="E495">
        <v>606.71002197265625</v>
      </c>
      <c r="F495">
        <v>606.71002197265625</v>
      </c>
      <c r="G495">
        <v>5821400</v>
      </c>
      <c r="I495" s="5">
        <f t="shared" si="20"/>
        <v>2.703046527821916E-2</v>
      </c>
      <c r="K495" s="5">
        <f t="shared" si="21"/>
        <v>493</v>
      </c>
      <c r="L495" s="5">
        <v>-4.5995501211178675E-3</v>
      </c>
    </row>
    <row r="496" spans="1:12" x14ac:dyDescent="0.25">
      <c r="A496" s="1">
        <v>44447</v>
      </c>
      <c r="B496">
        <v>603.84002685546875</v>
      </c>
      <c r="C496">
        <v>615.5999755859375</v>
      </c>
      <c r="D496">
        <v>595.71002197265625</v>
      </c>
      <c r="E496">
        <v>606.04998779296875</v>
      </c>
      <c r="F496">
        <v>606.04998779296875</v>
      </c>
      <c r="G496">
        <v>5424500</v>
      </c>
      <c r="I496" s="5">
        <f t="shared" si="20"/>
        <v>-1.0884828647708328E-3</v>
      </c>
      <c r="K496" s="5">
        <f t="shared" si="21"/>
        <v>494</v>
      </c>
      <c r="L496" s="5">
        <v>-4.5797844526862504E-3</v>
      </c>
    </row>
    <row r="497" spans="1:12" x14ac:dyDescent="0.25">
      <c r="A497" s="1">
        <v>44448</v>
      </c>
      <c r="B497">
        <v>606.469970703125</v>
      </c>
      <c r="C497">
        <v>609.44000244140625</v>
      </c>
      <c r="D497">
        <v>596.54998779296875</v>
      </c>
      <c r="E497">
        <v>597.53997802734375</v>
      </c>
      <c r="F497">
        <v>597.53997802734375</v>
      </c>
      <c r="G497">
        <v>2954200</v>
      </c>
      <c r="I497" s="5">
        <f t="shared" si="20"/>
        <v>-1.4141280374822681E-2</v>
      </c>
      <c r="K497" s="5">
        <f t="shared" si="21"/>
        <v>495</v>
      </c>
      <c r="L497" s="5">
        <v>-4.5663666246972701E-3</v>
      </c>
    </row>
    <row r="498" spans="1:12" x14ac:dyDescent="0.25">
      <c r="A498" s="1">
        <v>44449</v>
      </c>
      <c r="B498">
        <v>598.15997314453125</v>
      </c>
      <c r="C498">
        <v>609.45001220703125</v>
      </c>
      <c r="D498">
        <v>593.66998291015625</v>
      </c>
      <c r="E498">
        <v>598.719970703125</v>
      </c>
      <c r="F498">
        <v>598.719970703125</v>
      </c>
      <c r="G498">
        <v>3950800</v>
      </c>
      <c r="I498" s="5">
        <f t="shared" si="20"/>
        <v>1.9728037534652095E-3</v>
      </c>
      <c r="K498" s="5">
        <f t="shared" si="21"/>
        <v>496</v>
      </c>
      <c r="L498" s="5">
        <v>-4.5326595568597307E-3</v>
      </c>
    </row>
    <row r="499" spans="1:12" x14ac:dyDescent="0.25">
      <c r="A499" s="1">
        <v>44452</v>
      </c>
      <c r="B499">
        <v>598.57000732421875</v>
      </c>
      <c r="C499">
        <v>598.57000732421875</v>
      </c>
      <c r="D499">
        <v>582.780029296875</v>
      </c>
      <c r="E499">
        <v>589.28997802734375</v>
      </c>
      <c r="F499">
        <v>589.28997802734375</v>
      </c>
      <c r="G499">
        <v>3062900</v>
      </c>
      <c r="I499" s="5">
        <f t="shared" si="20"/>
        <v>-1.5875609025575995E-2</v>
      </c>
      <c r="K499" s="5">
        <f t="shared" si="21"/>
        <v>497</v>
      </c>
      <c r="L499" s="5">
        <v>-4.4929654789164601E-3</v>
      </c>
    </row>
    <row r="500" spans="1:12" x14ac:dyDescent="0.25">
      <c r="A500" s="1">
        <v>44453</v>
      </c>
      <c r="B500">
        <v>584.8900146484375</v>
      </c>
      <c r="C500">
        <v>587.280029296875</v>
      </c>
      <c r="D500">
        <v>575.55999755859375</v>
      </c>
      <c r="E500">
        <v>577.760009765625</v>
      </c>
      <c r="F500">
        <v>577.760009765625</v>
      </c>
      <c r="G500">
        <v>3457000</v>
      </c>
      <c r="I500" s="5">
        <f t="shared" si="20"/>
        <v>-1.9759810695922468E-2</v>
      </c>
      <c r="K500" s="5">
        <f t="shared" si="21"/>
        <v>498</v>
      </c>
      <c r="L500" s="5">
        <v>-4.4026912605263455E-3</v>
      </c>
    </row>
    <row r="501" spans="1:12" x14ac:dyDescent="0.25">
      <c r="A501" s="1">
        <v>44454</v>
      </c>
      <c r="B501">
        <v>578.16998291015625</v>
      </c>
      <c r="C501">
        <v>584.6199951171875</v>
      </c>
      <c r="D501">
        <v>575.3699951171875</v>
      </c>
      <c r="E501">
        <v>582.8699951171875</v>
      </c>
      <c r="F501">
        <v>582.8699951171875</v>
      </c>
      <c r="G501">
        <v>2755600</v>
      </c>
      <c r="I501" s="5">
        <f t="shared" si="20"/>
        <v>8.8055941142308452E-3</v>
      </c>
      <c r="K501" s="5">
        <f t="shared" si="21"/>
        <v>499</v>
      </c>
      <c r="L501" s="5">
        <v>-4.386677057465465E-3</v>
      </c>
    </row>
    <row r="502" spans="1:12" x14ac:dyDescent="0.25">
      <c r="A502" s="1">
        <v>44455</v>
      </c>
      <c r="B502">
        <v>584.29998779296875</v>
      </c>
      <c r="C502">
        <v>587.47998046875</v>
      </c>
      <c r="D502">
        <v>577.719970703125</v>
      </c>
      <c r="E502">
        <v>586.5</v>
      </c>
      <c r="F502">
        <v>586.5</v>
      </c>
      <c r="G502">
        <v>1832000</v>
      </c>
      <c r="I502" s="5">
        <f t="shared" si="20"/>
        <v>6.2084995475885536E-3</v>
      </c>
      <c r="K502" s="5">
        <f t="shared" si="21"/>
        <v>500</v>
      </c>
      <c r="L502" s="5">
        <v>-4.3498404342428845E-3</v>
      </c>
    </row>
    <row r="503" spans="1:12" x14ac:dyDescent="0.25">
      <c r="A503" s="1">
        <v>44456</v>
      </c>
      <c r="B503">
        <v>587.8499755859375</v>
      </c>
      <c r="C503">
        <v>590.280029296875</v>
      </c>
      <c r="D503">
        <v>580.8499755859375</v>
      </c>
      <c r="E503">
        <v>589.3499755859375</v>
      </c>
      <c r="F503">
        <v>589.3499755859375</v>
      </c>
      <c r="G503">
        <v>4145100</v>
      </c>
      <c r="I503" s="5">
        <f t="shared" si="20"/>
        <v>4.8475251536424513E-3</v>
      </c>
      <c r="K503" s="5">
        <f t="shared" si="21"/>
        <v>501</v>
      </c>
      <c r="L503" s="5">
        <v>-4.2988887519172818E-3</v>
      </c>
    </row>
    <row r="504" spans="1:12" x14ac:dyDescent="0.25">
      <c r="A504" s="1">
        <v>44459</v>
      </c>
      <c r="B504">
        <v>586.78997802734375</v>
      </c>
      <c r="C504">
        <v>591.530029296875</v>
      </c>
      <c r="D504">
        <v>568.08001708984375</v>
      </c>
      <c r="E504">
        <v>575.42999267578125</v>
      </c>
      <c r="F504">
        <v>575.42999267578125</v>
      </c>
      <c r="G504">
        <v>3732200</v>
      </c>
      <c r="I504" s="5">
        <f t="shared" si="20"/>
        <v>-2.3902618573719392E-2</v>
      </c>
      <c r="K504" s="5">
        <f t="shared" si="21"/>
        <v>502</v>
      </c>
      <c r="L504" s="5">
        <v>-4.1170415969326328E-3</v>
      </c>
    </row>
    <row r="505" spans="1:12" x14ac:dyDescent="0.25">
      <c r="A505" s="1">
        <v>44460</v>
      </c>
      <c r="B505">
        <v>578.30999755859375</v>
      </c>
      <c r="C505">
        <v>581.8800048828125</v>
      </c>
      <c r="D505">
        <v>569.3699951171875</v>
      </c>
      <c r="E505">
        <v>573.1400146484375</v>
      </c>
      <c r="F505">
        <v>573.1400146484375</v>
      </c>
      <c r="G505">
        <v>2250900</v>
      </c>
      <c r="I505" s="5">
        <f t="shared" si="20"/>
        <v>-3.9875341460126204E-3</v>
      </c>
      <c r="K505" s="5">
        <f t="shared" si="21"/>
        <v>503</v>
      </c>
      <c r="L505" s="5">
        <v>-4.1086826935045504E-3</v>
      </c>
    </row>
    <row r="506" spans="1:12" x14ac:dyDescent="0.25">
      <c r="A506" s="1">
        <v>44461</v>
      </c>
      <c r="B506">
        <v>579.69000244140625</v>
      </c>
      <c r="C506">
        <v>595.6500244140625</v>
      </c>
      <c r="D506">
        <v>579.69000244140625</v>
      </c>
      <c r="E506">
        <v>590.6500244140625</v>
      </c>
      <c r="F506">
        <v>590.6500244140625</v>
      </c>
      <c r="G506">
        <v>4021800</v>
      </c>
      <c r="I506" s="5">
        <f t="shared" si="20"/>
        <v>3.0093626201316857E-2</v>
      </c>
      <c r="K506" s="5">
        <f t="shared" si="21"/>
        <v>504</v>
      </c>
      <c r="L506" s="5">
        <v>-4.027944426989085E-3</v>
      </c>
    </row>
    <row r="507" spans="1:12" x14ac:dyDescent="0.25">
      <c r="A507" s="1">
        <v>44462</v>
      </c>
      <c r="B507">
        <v>590.78997802734375</v>
      </c>
      <c r="C507">
        <v>599.32000732421875</v>
      </c>
      <c r="D507">
        <v>589.1300048828125</v>
      </c>
      <c r="E507">
        <v>593.260009765625</v>
      </c>
      <c r="F507">
        <v>593.260009765625</v>
      </c>
      <c r="G507">
        <v>2526200</v>
      </c>
      <c r="I507" s="5">
        <f t="shared" si="20"/>
        <v>4.4091012060447311E-3</v>
      </c>
      <c r="K507" s="5">
        <f t="shared" si="21"/>
        <v>505</v>
      </c>
      <c r="L507" s="5">
        <v>-4.0156025445993362E-3</v>
      </c>
    </row>
    <row r="508" spans="1:12" x14ac:dyDescent="0.25">
      <c r="A508" s="1">
        <v>44463</v>
      </c>
      <c r="B508">
        <v>592.5</v>
      </c>
      <c r="C508">
        <v>592.97998046875</v>
      </c>
      <c r="D508">
        <v>583.6400146484375</v>
      </c>
      <c r="E508">
        <v>592.3900146484375</v>
      </c>
      <c r="F508">
        <v>592.3900146484375</v>
      </c>
      <c r="G508">
        <v>2126200</v>
      </c>
      <c r="I508" s="5">
        <f t="shared" si="20"/>
        <v>-1.467541442101676E-3</v>
      </c>
      <c r="K508" s="5">
        <f t="shared" si="21"/>
        <v>506</v>
      </c>
      <c r="L508" s="5">
        <v>-3.9875341460126204E-3</v>
      </c>
    </row>
    <row r="509" spans="1:12" x14ac:dyDescent="0.25">
      <c r="A509" s="1">
        <v>44466</v>
      </c>
      <c r="B509">
        <v>587.95001220703125</v>
      </c>
      <c r="C509">
        <v>593.58001708984375</v>
      </c>
      <c r="D509">
        <v>576.92999267578125</v>
      </c>
      <c r="E509">
        <v>592.6400146484375</v>
      </c>
      <c r="F509">
        <v>592.6400146484375</v>
      </c>
      <c r="G509">
        <v>2504700</v>
      </c>
      <c r="I509" s="5">
        <f t="shared" si="20"/>
        <v>4.2193024232010549E-4</v>
      </c>
      <c r="K509" s="5">
        <f t="shared" si="21"/>
        <v>507</v>
      </c>
      <c r="L509" s="5">
        <v>-3.9476463346989734E-3</v>
      </c>
    </row>
    <row r="510" spans="1:12" x14ac:dyDescent="0.25">
      <c r="A510" s="1">
        <v>44467</v>
      </c>
      <c r="B510">
        <v>589</v>
      </c>
      <c r="C510">
        <v>599.53997802734375</v>
      </c>
      <c r="D510">
        <v>580.15997314453125</v>
      </c>
      <c r="E510">
        <v>583.8499755859375</v>
      </c>
      <c r="F510">
        <v>583.8499755859375</v>
      </c>
      <c r="G510">
        <v>4431100</v>
      </c>
      <c r="I510" s="5">
        <f t="shared" si="20"/>
        <v>-1.4943098028939261E-2</v>
      </c>
      <c r="K510" s="5">
        <f t="shared" si="21"/>
        <v>508</v>
      </c>
      <c r="L510" s="5">
        <v>-3.9384166526287576E-3</v>
      </c>
    </row>
    <row r="511" spans="1:12" x14ac:dyDescent="0.25">
      <c r="A511" s="1">
        <v>44468</v>
      </c>
      <c r="B511">
        <v>589.010009765625</v>
      </c>
      <c r="C511">
        <v>609.8800048828125</v>
      </c>
      <c r="D511">
        <v>588.010009765625</v>
      </c>
      <c r="E511">
        <v>599.05999755859375</v>
      </c>
      <c r="F511">
        <v>599.05999755859375</v>
      </c>
      <c r="G511">
        <v>6221000</v>
      </c>
      <c r="I511" s="5">
        <f t="shared" si="20"/>
        <v>2.571769726250776E-2</v>
      </c>
      <c r="K511" s="5">
        <f t="shared" si="21"/>
        <v>509</v>
      </c>
      <c r="L511" s="5">
        <v>-3.8895895155693027E-3</v>
      </c>
    </row>
    <row r="512" spans="1:12" x14ac:dyDescent="0.25">
      <c r="A512" s="1">
        <v>44469</v>
      </c>
      <c r="B512">
        <v>608.04998779296875</v>
      </c>
      <c r="C512">
        <v>619</v>
      </c>
      <c r="D512">
        <v>608.04998779296875</v>
      </c>
      <c r="E512">
        <v>610.34002685546875</v>
      </c>
      <c r="F512">
        <v>610.34002685546875</v>
      </c>
      <c r="G512">
        <v>6612600</v>
      </c>
      <c r="I512" s="5">
        <f t="shared" si="20"/>
        <v>1.8654466971889279E-2</v>
      </c>
      <c r="K512" s="5">
        <f t="shared" si="21"/>
        <v>510</v>
      </c>
      <c r="L512" s="5">
        <v>-3.8103412137800081E-3</v>
      </c>
    </row>
    <row r="513" spans="1:12" x14ac:dyDescent="0.25">
      <c r="A513" s="1">
        <v>44470</v>
      </c>
      <c r="B513">
        <v>604.239990234375</v>
      </c>
      <c r="C513">
        <v>614.989990234375</v>
      </c>
      <c r="D513">
        <v>597.510009765625</v>
      </c>
      <c r="E513">
        <v>613.1500244140625</v>
      </c>
      <c r="F513">
        <v>613.1500244140625</v>
      </c>
      <c r="G513">
        <v>4090800</v>
      </c>
      <c r="I513" s="5">
        <f t="shared" si="20"/>
        <v>4.5934210849947867E-3</v>
      </c>
      <c r="K513" s="5">
        <f t="shared" si="21"/>
        <v>511</v>
      </c>
      <c r="L513" s="5">
        <v>-3.7858578646938973E-3</v>
      </c>
    </row>
    <row r="514" spans="1:12" x14ac:dyDescent="0.25">
      <c r="A514" s="1">
        <v>44473</v>
      </c>
      <c r="B514">
        <v>613.3900146484375</v>
      </c>
      <c r="C514">
        <v>626.1300048828125</v>
      </c>
      <c r="D514">
        <v>594.67999267578125</v>
      </c>
      <c r="E514">
        <v>603.3499755859375</v>
      </c>
      <c r="F514">
        <v>603.3499755859375</v>
      </c>
      <c r="G514">
        <v>4995900</v>
      </c>
      <c r="I514" s="5">
        <f t="shared" si="20"/>
        <v>-1.6112224970043092E-2</v>
      </c>
      <c r="K514" s="5">
        <f t="shared" si="21"/>
        <v>512</v>
      </c>
      <c r="L514" s="5">
        <v>-3.7587214638483261E-3</v>
      </c>
    </row>
    <row r="515" spans="1:12" x14ac:dyDescent="0.25">
      <c r="A515" s="1">
        <v>44474</v>
      </c>
      <c r="B515">
        <v>606.94000244140625</v>
      </c>
      <c r="C515">
        <v>640.3900146484375</v>
      </c>
      <c r="D515">
        <v>606.8900146484375</v>
      </c>
      <c r="E515">
        <v>634.80999755859375</v>
      </c>
      <c r="F515">
        <v>634.80999755859375</v>
      </c>
      <c r="G515">
        <v>9534300</v>
      </c>
      <c r="I515" s="5">
        <f t="shared" si="20"/>
        <v>5.0828318619930722E-2</v>
      </c>
      <c r="K515" s="5">
        <f t="shared" si="21"/>
        <v>513</v>
      </c>
      <c r="L515" s="5">
        <v>-3.7292746198304065E-3</v>
      </c>
    </row>
    <row r="516" spans="1:12" x14ac:dyDescent="0.25">
      <c r="A516" s="1">
        <v>44475</v>
      </c>
      <c r="B516">
        <v>628.17999267578125</v>
      </c>
      <c r="C516">
        <v>639.8699951171875</v>
      </c>
      <c r="D516">
        <v>626.3599853515625</v>
      </c>
      <c r="E516">
        <v>639.0999755859375</v>
      </c>
      <c r="F516">
        <v>639.0999755859375</v>
      </c>
      <c r="G516">
        <v>4580400</v>
      </c>
      <c r="I516" s="5">
        <f t="shared" ref="I516:I579" si="22">LN(F516/F515)</f>
        <v>6.7351607801824243E-3</v>
      </c>
      <c r="K516" s="5">
        <f t="shared" ref="K516:K579" si="23">_xlfn.RANK.AVG(L516,_xlfn.ANCHORARRAY($L$3),1)</f>
        <v>514</v>
      </c>
      <c r="L516" s="5">
        <v>-3.6278874980925119E-3</v>
      </c>
    </row>
    <row r="517" spans="1:12" x14ac:dyDescent="0.25">
      <c r="A517" s="1">
        <v>44476</v>
      </c>
      <c r="B517">
        <v>642.22998046875</v>
      </c>
      <c r="C517">
        <v>646.84002685546875</v>
      </c>
      <c r="D517">
        <v>630.45001220703125</v>
      </c>
      <c r="E517">
        <v>631.8499755859375</v>
      </c>
      <c r="F517">
        <v>631.8499755859375</v>
      </c>
      <c r="G517">
        <v>3556900</v>
      </c>
      <c r="I517" s="5">
        <f t="shared" si="22"/>
        <v>-1.1408912889870362E-2</v>
      </c>
      <c r="K517" s="5">
        <f t="shared" si="23"/>
        <v>515</v>
      </c>
      <c r="L517" s="5">
        <v>-3.5511046473782914E-3</v>
      </c>
    </row>
    <row r="518" spans="1:12" x14ac:dyDescent="0.25">
      <c r="A518" s="1">
        <v>44477</v>
      </c>
      <c r="B518">
        <v>634.16998291015625</v>
      </c>
      <c r="C518">
        <v>643.79998779296875</v>
      </c>
      <c r="D518">
        <v>630.8599853515625</v>
      </c>
      <c r="E518">
        <v>632.65997314453125</v>
      </c>
      <c r="F518">
        <v>632.65997314453125</v>
      </c>
      <c r="G518">
        <v>3272100</v>
      </c>
      <c r="I518" s="5">
        <f t="shared" si="22"/>
        <v>1.2811250242723067E-3</v>
      </c>
      <c r="K518" s="5">
        <f t="shared" si="23"/>
        <v>516</v>
      </c>
      <c r="L518" s="5">
        <v>-3.4411596724027407E-3</v>
      </c>
    </row>
    <row r="519" spans="1:12" x14ac:dyDescent="0.25">
      <c r="A519" s="1">
        <v>44480</v>
      </c>
      <c r="B519">
        <v>633.20001220703125</v>
      </c>
      <c r="C519">
        <v>639.41998291015625</v>
      </c>
      <c r="D519">
        <v>626.780029296875</v>
      </c>
      <c r="E519">
        <v>627.03997802734375</v>
      </c>
      <c r="F519">
        <v>627.03997802734375</v>
      </c>
      <c r="G519">
        <v>2862500</v>
      </c>
      <c r="I519" s="5">
        <f t="shared" si="22"/>
        <v>-8.9228111804975242E-3</v>
      </c>
      <c r="K519" s="5">
        <f t="shared" si="23"/>
        <v>517</v>
      </c>
      <c r="L519" s="5">
        <v>-3.4296948551057319E-3</v>
      </c>
    </row>
    <row r="520" spans="1:12" x14ac:dyDescent="0.25">
      <c r="A520" s="1">
        <v>44481</v>
      </c>
      <c r="B520">
        <v>633.02001953125</v>
      </c>
      <c r="C520">
        <v>637.65997314453125</v>
      </c>
      <c r="D520">
        <v>621.989990234375</v>
      </c>
      <c r="E520">
        <v>624.94000244140625</v>
      </c>
      <c r="F520">
        <v>624.94000244140625</v>
      </c>
      <c r="G520">
        <v>3227300</v>
      </c>
      <c r="I520" s="5">
        <f t="shared" si="22"/>
        <v>-3.3546503747158125E-3</v>
      </c>
      <c r="K520" s="5">
        <f t="shared" si="23"/>
        <v>518</v>
      </c>
      <c r="L520" s="5">
        <v>-3.4084671135547182E-3</v>
      </c>
    </row>
    <row r="521" spans="1:12" x14ac:dyDescent="0.25">
      <c r="A521" s="1">
        <v>44482</v>
      </c>
      <c r="B521">
        <v>632.17999267578125</v>
      </c>
      <c r="C521">
        <v>632.17999267578125</v>
      </c>
      <c r="D521">
        <v>622.0999755859375</v>
      </c>
      <c r="E521">
        <v>629.760009765625</v>
      </c>
      <c r="F521">
        <v>629.760009765625</v>
      </c>
      <c r="G521">
        <v>2420300</v>
      </c>
      <c r="I521" s="5">
        <f t="shared" si="22"/>
        <v>7.6831608960016094E-3</v>
      </c>
      <c r="K521" s="5">
        <f t="shared" si="23"/>
        <v>519</v>
      </c>
      <c r="L521" s="5">
        <v>-3.4016724317141272E-3</v>
      </c>
    </row>
    <row r="522" spans="1:12" x14ac:dyDescent="0.25">
      <c r="A522" s="1">
        <v>44483</v>
      </c>
      <c r="B522">
        <v>632.22998046875</v>
      </c>
      <c r="C522">
        <v>636.8800048828125</v>
      </c>
      <c r="D522">
        <v>626.78997802734375</v>
      </c>
      <c r="E522">
        <v>633.79998779296875</v>
      </c>
      <c r="F522">
        <v>633.79998779296875</v>
      </c>
      <c r="G522">
        <v>2671700</v>
      </c>
      <c r="I522" s="5">
        <f t="shared" si="22"/>
        <v>6.3946180660186059E-3</v>
      </c>
      <c r="K522" s="5">
        <f t="shared" si="23"/>
        <v>520</v>
      </c>
      <c r="L522" s="5">
        <v>-3.3546503747158125E-3</v>
      </c>
    </row>
    <row r="523" spans="1:12" x14ac:dyDescent="0.25">
      <c r="A523" s="1">
        <v>44484</v>
      </c>
      <c r="B523">
        <v>638</v>
      </c>
      <c r="C523">
        <v>639.41998291015625</v>
      </c>
      <c r="D523">
        <v>625.15997314453125</v>
      </c>
      <c r="E523">
        <v>628.28997802734375</v>
      </c>
      <c r="F523">
        <v>628.28997802734375</v>
      </c>
      <c r="G523">
        <v>4116900</v>
      </c>
      <c r="I523" s="5">
        <f t="shared" si="22"/>
        <v>-8.7316196503796524E-3</v>
      </c>
      <c r="K523" s="5">
        <f t="shared" si="23"/>
        <v>521</v>
      </c>
      <c r="L523" s="5">
        <v>-3.2841204575195806E-3</v>
      </c>
    </row>
    <row r="524" spans="1:12" x14ac:dyDescent="0.25">
      <c r="A524" s="1">
        <v>44487</v>
      </c>
      <c r="B524">
        <v>632.0999755859375</v>
      </c>
      <c r="C524">
        <v>638.40997314453125</v>
      </c>
      <c r="D524">
        <v>620.59002685546875</v>
      </c>
      <c r="E524">
        <v>637.969970703125</v>
      </c>
      <c r="F524">
        <v>637.969970703125</v>
      </c>
      <c r="G524">
        <v>4669100</v>
      </c>
      <c r="I524" s="5">
        <f t="shared" si="22"/>
        <v>1.5289406027250563E-2</v>
      </c>
      <c r="K524" s="5">
        <f t="shared" si="23"/>
        <v>522</v>
      </c>
      <c r="L524" s="5">
        <v>-3.2628479539572926E-3</v>
      </c>
    </row>
    <row r="525" spans="1:12" x14ac:dyDescent="0.25">
      <c r="A525" s="1">
        <v>44488</v>
      </c>
      <c r="B525">
        <v>636.969970703125</v>
      </c>
      <c r="C525">
        <v>641</v>
      </c>
      <c r="D525">
        <v>632.29998779296875</v>
      </c>
      <c r="E525">
        <v>639</v>
      </c>
      <c r="F525">
        <v>639</v>
      </c>
      <c r="G525">
        <v>7633100</v>
      </c>
      <c r="I525" s="5">
        <f t="shared" si="22"/>
        <v>1.613240003912039E-3</v>
      </c>
      <c r="K525" s="5">
        <f t="shared" si="23"/>
        <v>523</v>
      </c>
      <c r="L525" s="5">
        <v>-3.2420726374187523E-3</v>
      </c>
    </row>
    <row r="526" spans="1:12" x14ac:dyDescent="0.25">
      <c r="A526" s="1">
        <v>44489</v>
      </c>
      <c r="B526">
        <v>625.57000732421875</v>
      </c>
      <c r="C526">
        <v>637.4000244140625</v>
      </c>
      <c r="D526">
        <v>617.1500244140625</v>
      </c>
      <c r="E526">
        <v>625.1400146484375</v>
      </c>
      <c r="F526">
        <v>625.1400146484375</v>
      </c>
      <c r="G526">
        <v>10622000</v>
      </c>
      <c r="I526" s="5">
        <f t="shared" si="22"/>
        <v>-2.1928806293136604E-2</v>
      </c>
      <c r="K526" s="5">
        <f t="shared" si="23"/>
        <v>524</v>
      </c>
      <c r="L526" s="5">
        <v>-3.2245791602198413E-3</v>
      </c>
    </row>
    <row r="527" spans="1:12" x14ac:dyDescent="0.25">
      <c r="A527" s="1">
        <v>44490</v>
      </c>
      <c r="B527">
        <v>628.8900146484375</v>
      </c>
      <c r="C527">
        <v>654.010009765625</v>
      </c>
      <c r="D527">
        <v>628.6500244140625</v>
      </c>
      <c r="E527">
        <v>653.15997314453125</v>
      </c>
      <c r="F527">
        <v>653.15997314453125</v>
      </c>
      <c r="G527">
        <v>8437100</v>
      </c>
      <c r="I527" s="5">
        <f t="shared" si="22"/>
        <v>4.3846433033492137E-2</v>
      </c>
      <c r="K527" s="5">
        <f t="shared" si="23"/>
        <v>525</v>
      </c>
      <c r="L527" s="5">
        <v>-3.2067070797312035E-3</v>
      </c>
    </row>
    <row r="528" spans="1:12" x14ac:dyDescent="0.25">
      <c r="A528" s="1">
        <v>44491</v>
      </c>
      <c r="B528">
        <v>651.80999755859375</v>
      </c>
      <c r="C528">
        <v>665.46002197265625</v>
      </c>
      <c r="D528">
        <v>651.80999755859375</v>
      </c>
      <c r="E528">
        <v>664.780029296875</v>
      </c>
      <c r="F528">
        <v>664.780029296875</v>
      </c>
      <c r="G528">
        <v>6186000</v>
      </c>
      <c r="I528" s="5">
        <f t="shared" si="22"/>
        <v>1.7634121804977611E-2</v>
      </c>
      <c r="K528" s="5">
        <f t="shared" si="23"/>
        <v>526</v>
      </c>
      <c r="L528" s="5">
        <v>-3.1208087519936402E-3</v>
      </c>
    </row>
    <row r="529" spans="1:12" x14ac:dyDescent="0.25">
      <c r="A529" s="1">
        <v>44494</v>
      </c>
      <c r="B529">
        <v>663.739990234375</v>
      </c>
      <c r="C529">
        <v>675.8800048828125</v>
      </c>
      <c r="D529">
        <v>657.07000732421875</v>
      </c>
      <c r="E529">
        <v>671.65997314453125</v>
      </c>
      <c r="F529">
        <v>671.65997314453125</v>
      </c>
      <c r="G529">
        <v>3833500</v>
      </c>
      <c r="I529" s="5">
        <f t="shared" si="22"/>
        <v>1.0296017198508358E-2</v>
      </c>
      <c r="K529" s="5">
        <f t="shared" si="23"/>
        <v>527</v>
      </c>
      <c r="L529" s="5">
        <v>-3.1068247203226663E-3</v>
      </c>
    </row>
    <row r="530" spans="1:12" x14ac:dyDescent="0.25">
      <c r="A530" s="1">
        <v>44495</v>
      </c>
      <c r="B530">
        <v>673.760009765625</v>
      </c>
      <c r="C530">
        <v>676.489990234375</v>
      </c>
      <c r="D530">
        <v>662.77001953125</v>
      </c>
      <c r="E530">
        <v>668.52001953125</v>
      </c>
      <c r="F530">
        <v>668.52001953125</v>
      </c>
      <c r="G530">
        <v>2904800</v>
      </c>
      <c r="I530" s="5">
        <f t="shared" si="22"/>
        <v>-4.6858770849970083E-3</v>
      </c>
      <c r="K530" s="5">
        <f t="shared" si="23"/>
        <v>528</v>
      </c>
      <c r="L530" s="5">
        <v>-3.1051318401021212E-3</v>
      </c>
    </row>
    <row r="531" spans="1:12" x14ac:dyDescent="0.25">
      <c r="A531" s="1">
        <v>44496</v>
      </c>
      <c r="B531">
        <v>669</v>
      </c>
      <c r="C531">
        <v>671.40997314453125</v>
      </c>
      <c r="D531">
        <v>661.8499755859375</v>
      </c>
      <c r="E531">
        <v>662.91998291015625</v>
      </c>
      <c r="F531">
        <v>662.91998291015625</v>
      </c>
      <c r="G531">
        <v>2276900</v>
      </c>
      <c r="I531" s="5">
        <f t="shared" si="22"/>
        <v>-8.4120495606838635E-3</v>
      </c>
      <c r="K531" s="5">
        <f t="shared" si="23"/>
        <v>529</v>
      </c>
      <c r="L531" s="5">
        <v>-3.0998027871128602E-3</v>
      </c>
    </row>
    <row r="532" spans="1:12" x14ac:dyDescent="0.25">
      <c r="A532" s="1">
        <v>44497</v>
      </c>
      <c r="B532">
        <v>670.95001220703125</v>
      </c>
      <c r="C532">
        <v>676.79998779296875</v>
      </c>
      <c r="D532">
        <v>668.030029296875</v>
      </c>
      <c r="E532">
        <v>674.04998779296875</v>
      </c>
      <c r="F532">
        <v>674.04998779296875</v>
      </c>
      <c r="G532">
        <v>2859400</v>
      </c>
      <c r="I532" s="5">
        <f t="shared" si="22"/>
        <v>1.6649980551398481E-2</v>
      </c>
      <c r="K532" s="5">
        <f t="shared" si="23"/>
        <v>530</v>
      </c>
      <c r="L532" s="5">
        <v>-3.0911832093493885E-3</v>
      </c>
    </row>
    <row r="533" spans="1:12" x14ac:dyDescent="0.25">
      <c r="A533" s="1">
        <v>44498</v>
      </c>
      <c r="B533">
        <v>673.05999755859375</v>
      </c>
      <c r="C533">
        <v>690.969970703125</v>
      </c>
      <c r="D533">
        <v>671.239990234375</v>
      </c>
      <c r="E533">
        <v>690.30999755859375</v>
      </c>
      <c r="F533">
        <v>690.30999755859375</v>
      </c>
      <c r="G533">
        <v>3825300</v>
      </c>
      <c r="I533" s="5">
        <f t="shared" si="22"/>
        <v>2.3836494495891605E-2</v>
      </c>
      <c r="K533" s="5">
        <f t="shared" si="23"/>
        <v>531</v>
      </c>
      <c r="L533" s="5">
        <v>-2.9944014055201845E-3</v>
      </c>
    </row>
    <row r="534" spans="1:12" x14ac:dyDescent="0.25">
      <c r="A534" s="1">
        <v>44501</v>
      </c>
      <c r="B534">
        <v>689.05999755859375</v>
      </c>
      <c r="C534">
        <v>689.969970703125</v>
      </c>
      <c r="D534">
        <v>676.53997802734375</v>
      </c>
      <c r="E534">
        <v>681.16998291015625</v>
      </c>
      <c r="F534">
        <v>681.16998291015625</v>
      </c>
      <c r="G534">
        <v>3110900</v>
      </c>
      <c r="I534" s="5">
        <f t="shared" si="22"/>
        <v>-1.3328885722730451E-2</v>
      </c>
      <c r="K534" s="5">
        <f t="shared" si="23"/>
        <v>532</v>
      </c>
      <c r="L534" s="5">
        <v>-2.9918820398899038E-3</v>
      </c>
    </row>
    <row r="535" spans="1:12" x14ac:dyDescent="0.25">
      <c r="A535" s="1">
        <v>44502</v>
      </c>
      <c r="B535">
        <v>683.1099853515625</v>
      </c>
      <c r="C535">
        <v>687.67999267578125</v>
      </c>
      <c r="D535">
        <v>673.82000732421875</v>
      </c>
      <c r="E535">
        <v>677.719970703125</v>
      </c>
      <c r="F535">
        <v>677.719970703125</v>
      </c>
      <c r="G535">
        <v>3888600</v>
      </c>
      <c r="I535" s="5">
        <f t="shared" si="22"/>
        <v>-5.0777027389332886E-3</v>
      </c>
      <c r="K535" s="5">
        <f t="shared" si="23"/>
        <v>533</v>
      </c>
      <c r="L535" s="5">
        <v>-2.9916633486432309E-3</v>
      </c>
    </row>
    <row r="536" spans="1:12" x14ac:dyDescent="0.25">
      <c r="A536" s="1">
        <v>44503</v>
      </c>
      <c r="B536">
        <v>677.27001953125</v>
      </c>
      <c r="C536">
        <v>689.3900146484375</v>
      </c>
      <c r="D536">
        <v>677.27001953125</v>
      </c>
      <c r="E536">
        <v>688.28997802734375</v>
      </c>
      <c r="F536">
        <v>688.28997802734375</v>
      </c>
      <c r="G536">
        <v>2334900</v>
      </c>
      <c r="I536" s="5">
        <f t="shared" si="22"/>
        <v>1.5476048765313397E-2</v>
      </c>
      <c r="K536" s="5">
        <f t="shared" si="23"/>
        <v>534</v>
      </c>
      <c r="L536" s="5">
        <v>-2.7899884530175195E-3</v>
      </c>
    </row>
    <row r="537" spans="1:12" x14ac:dyDescent="0.25">
      <c r="A537" s="1">
        <v>44504</v>
      </c>
      <c r="B537">
        <v>685.8900146484375</v>
      </c>
      <c r="C537">
        <v>685.94000244140625</v>
      </c>
      <c r="D537">
        <v>665.5</v>
      </c>
      <c r="E537">
        <v>668.4000244140625</v>
      </c>
      <c r="F537">
        <v>668.4000244140625</v>
      </c>
      <c r="G537">
        <v>4865000</v>
      </c>
      <c r="I537" s="5">
        <f t="shared" si="22"/>
        <v>-2.9323395579271615E-2</v>
      </c>
      <c r="K537" s="5">
        <f t="shared" si="23"/>
        <v>535</v>
      </c>
      <c r="L537" s="5">
        <v>-2.7078088224014008E-3</v>
      </c>
    </row>
    <row r="538" spans="1:12" x14ac:dyDescent="0.25">
      <c r="A538" s="1">
        <v>44505</v>
      </c>
      <c r="B538">
        <v>663.969970703125</v>
      </c>
      <c r="C538">
        <v>665.6400146484375</v>
      </c>
      <c r="D538">
        <v>645.010009765625</v>
      </c>
      <c r="E538">
        <v>645.719970703125</v>
      </c>
      <c r="F538">
        <v>645.719970703125</v>
      </c>
      <c r="G538">
        <v>5283500</v>
      </c>
      <c r="I538" s="5">
        <f t="shared" si="22"/>
        <v>-3.4520905328901376E-2</v>
      </c>
      <c r="K538" s="5">
        <f t="shared" si="23"/>
        <v>536</v>
      </c>
      <c r="L538" s="5">
        <v>-2.7020601884971346E-3</v>
      </c>
    </row>
    <row r="539" spans="1:12" x14ac:dyDescent="0.25">
      <c r="A539" s="1">
        <v>44508</v>
      </c>
      <c r="B539">
        <v>650.28997802734375</v>
      </c>
      <c r="C539">
        <v>656</v>
      </c>
      <c r="D539">
        <v>643.78997802734375</v>
      </c>
      <c r="E539">
        <v>651.45001220703125</v>
      </c>
      <c r="F539">
        <v>651.45001220703125</v>
      </c>
      <c r="G539">
        <v>2887500</v>
      </c>
      <c r="I539" s="5">
        <f t="shared" si="22"/>
        <v>8.834738468725397E-3</v>
      </c>
      <c r="K539" s="5">
        <f t="shared" si="23"/>
        <v>537</v>
      </c>
      <c r="L539" s="5">
        <v>-2.6948174938433685E-3</v>
      </c>
    </row>
    <row r="540" spans="1:12" x14ac:dyDescent="0.25">
      <c r="A540" s="1">
        <v>44509</v>
      </c>
      <c r="B540">
        <v>653.70001220703125</v>
      </c>
      <c r="C540">
        <v>660.5</v>
      </c>
      <c r="D540">
        <v>650.52001953125</v>
      </c>
      <c r="E540">
        <v>655.989990234375</v>
      </c>
      <c r="F540">
        <v>655.989990234375</v>
      </c>
      <c r="G540">
        <v>2415600</v>
      </c>
      <c r="I540" s="5">
        <f t="shared" si="22"/>
        <v>6.9448636514223118E-3</v>
      </c>
      <c r="K540" s="5">
        <f t="shared" si="23"/>
        <v>538</v>
      </c>
      <c r="L540" s="5">
        <v>-2.6709803327129439E-3</v>
      </c>
    </row>
    <row r="541" spans="1:12" x14ac:dyDescent="0.25">
      <c r="A541" s="1">
        <v>44510</v>
      </c>
      <c r="B541">
        <v>653.010009765625</v>
      </c>
      <c r="C541">
        <v>660.33001708984375</v>
      </c>
      <c r="D541">
        <v>642.1099853515625</v>
      </c>
      <c r="E541">
        <v>646.90997314453125</v>
      </c>
      <c r="F541">
        <v>646.90997314453125</v>
      </c>
      <c r="G541">
        <v>2405800</v>
      </c>
      <c r="I541" s="5">
        <f t="shared" si="22"/>
        <v>-1.3938390281830085E-2</v>
      </c>
      <c r="K541" s="5">
        <f t="shared" si="23"/>
        <v>539</v>
      </c>
      <c r="L541" s="5">
        <v>-2.6685478420967403E-3</v>
      </c>
    </row>
    <row r="542" spans="1:12" x14ac:dyDescent="0.25">
      <c r="A542" s="1">
        <v>44511</v>
      </c>
      <c r="B542">
        <v>650.239990234375</v>
      </c>
      <c r="C542">
        <v>665.82000732421875</v>
      </c>
      <c r="D542">
        <v>649.71002197265625</v>
      </c>
      <c r="E542">
        <v>657.58001708984375</v>
      </c>
      <c r="F542">
        <v>657.58001708984375</v>
      </c>
      <c r="G542">
        <v>2868300</v>
      </c>
      <c r="I542" s="5">
        <f t="shared" si="22"/>
        <v>1.6359315886377637E-2</v>
      </c>
      <c r="K542" s="5">
        <f t="shared" si="23"/>
        <v>540</v>
      </c>
      <c r="L542" s="5">
        <v>-2.6253625371521253E-3</v>
      </c>
    </row>
    <row r="543" spans="1:12" x14ac:dyDescent="0.25">
      <c r="A543" s="1">
        <v>44512</v>
      </c>
      <c r="B543">
        <v>660.010009765625</v>
      </c>
      <c r="C543">
        <v>683.34002685546875</v>
      </c>
      <c r="D543">
        <v>653.82000732421875</v>
      </c>
      <c r="E543">
        <v>682.6099853515625</v>
      </c>
      <c r="F543">
        <v>682.6099853515625</v>
      </c>
      <c r="G543">
        <v>4198400</v>
      </c>
      <c r="I543" s="5">
        <f t="shared" si="22"/>
        <v>3.7357209130838231E-2</v>
      </c>
      <c r="K543" s="5">
        <f t="shared" si="23"/>
        <v>541</v>
      </c>
      <c r="L543" s="5">
        <v>-2.6061274150578134E-3</v>
      </c>
    </row>
    <row r="544" spans="1:12" x14ac:dyDescent="0.25">
      <c r="A544" s="1">
        <v>44515</v>
      </c>
      <c r="B544">
        <v>681.239990234375</v>
      </c>
      <c r="C544">
        <v>685.260009765625</v>
      </c>
      <c r="D544">
        <v>671.489990234375</v>
      </c>
      <c r="E544">
        <v>679.33001708984375</v>
      </c>
      <c r="F544">
        <v>679.33001708984375</v>
      </c>
      <c r="G544">
        <v>2872200</v>
      </c>
      <c r="I544" s="5">
        <f t="shared" si="22"/>
        <v>-4.8166212859084047E-3</v>
      </c>
      <c r="K544" s="5">
        <f t="shared" si="23"/>
        <v>542</v>
      </c>
      <c r="L544" s="5">
        <v>-2.4842393261863428E-3</v>
      </c>
    </row>
    <row r="545" spans="1:12" x14ac:dyDescent="0.25">
      <c r="A545" s="1">
        <v>44516</v>
      </c>
      <c r="B545">
        <v>678.27001953125</v>
      </c>
      <c r="C545">
        <v>688.3599853515625</v>
      </c>
      <c r="D545">
        <v>676.9000244140625</v>
      </c>
      <c r="E545">
        <v>687.4000244140625</v>
      </c>
      <c r="F545">
        <v>687.4000244140625</v>
      </c>
      <c r="G545">
        <v>2077400</v>
      </c>
      <c r="I545" s="5">
        <f t="shared" si="22"/>
        <v>1.180935644417498E-2</v>
      </c>
      <c r="K545" s="5">
        <f t="shared" si="23"/>
        <v>543</v>
      </c>
      <c r="L545" s="5">
        <v>-2.3810116801041073E-3</v>
      </c>
    </row>
    <row r="546" spans="1:12" x14ac:dyDescent="0.25">
      <c r="A546" s="1">
        <v>44517</v>
      </c>
      <c r="B546">
        <v>690</v>
      </c>
      <c r="C546">
        <v>700.989990234375</v>
      </c>
      <c r="D546">
        <v>686.09002685546875</v>
      </c>
      <c r="E546">
        <v>691.69000244140625</v>
      </c>
      <c r="F546">
        <v>691.69000244140625</v>
      </c>
      <c r="G546">
        <v>2732800</v>
      </c>
      <c r="I546" s="5">
        <f t="shared" si="22"/>
        <v>6.2214819648000489E-3</v>
      </c>
      <c r="K546" s="5">
        <f t="shared" si="23"/>
        <v>544</v>
      </c>
      <c r="L546" s="5">
        <v>-2.3135659349321209E-3</v>
      </c>
    </row>
    <row r="547" spans="1:12" x14ac:dyDescent="0.25">
      <c r="A547" s="1">
        <v>44518</v>
      </c>
      <c r="B547">
        <v>691.6099853515625</v>
      </c>
      <c r="C547">
        <v>691.739990234375</v>
      </c>
      <c r="D547">
        <v>679.739990234375</v>
      </c>
      <c r="E547">
        <v>682.02001953125</v>
      </c>
      <c r="F547">
        <v>682.02001953125</v>
      </c>
      <c r="G547">
        <v>2012900</v>
      </c>
      <c r="I547" s="5">
        <f t="shared" si="22"/>
        <v>-1.407887033303229E-2</v>
      </c>
      <c r="K547" s="5">
        <f t="shared" si="23"/>
        <v>545</v>
      </c>
      <c r="L547" s="5">
        <v>-2.3087509971468564E-3</v>
      </c>
    </row>
    <row r="548" spans="1:12" x14ac:dyDescent="0.25">
      <c r="A548" s="1">
        <v>44519</v>
      </c>
      <c r="B548">
        <v>692.3499755859375</v>
      </c>
      <c r="C548">
        <v>694.15997314453125</v>
      </c>
      <c r="D548">
        <v>675</v>
      </c>
      <c r="E548">
        <v>678.79998779296875</v>
      </c>
      <c r="F548">
        <v>678.79998779296875</v>
      </c>
      <c r="G548">
        <v>2613700</v>
      </c>
      <c r="I548" s="5">
        <f t="shared" si="22"/>
        <v>-4.732496187211035E-3</v>
      </c>
      <c r="K548" s="5">
        <f t="shared" si="23"/>
        <v>546</v>
      </c>
      <c r="L548" s="5">
        <v>-2.30360054729414E-3</v>
      </c>
    </row>
    <row r="549" spans="1:12" x14ac:dyDescent="0.25">
      <c r="A549" s="1">
        <v>44522</v>
      </c>
      <c r="B549">
        <v>676.02001953125</v>
      </c>
      <c r="C549">
        <v>679.47998046875</v>
      </c>
      <c r="D549">
        <v>656.469970703125</v>
      </c>
      <c r="E549">
        <v>659.20001220703125</v>
      </c>
      <c r="F549">
        <v>659.20001220703125</v>
      </c>
      <c r="G549">
        <v>2764400</v>
      </c>
      <c r="I549" s="5">
        <f t="shared" si="22"/>
        <v>-2.9299518263609776E-2</v>
      </c>
      <c r="K549" s="5">
        <f t="shared" si="23"/>
        <v>547</v>
      </c>
      <c r="L549" s="5">
        <v>-2.2802353289800141E-3</v>
      </c>
    </row>
    <row r="550" spans="1:12" x14ac:dyDescent="0.25">
      <c r="A550" s="1">
        <v>44523</v>
      </c>
      <c r="B550">
        <v>658.17999267578125</v>
      </c>
      <c r="C550">
        <v>666.42999267578125</v>
      </c>
      <c r="D550">
        <v>646.04998779296875</v>
      </c>
      <c r="E550">
        <v>654.05999755859375</v>
      </c>
      <c r="F550">
        <v>654.05999755859375</v>
      </c>
      <c r="G550">
        <v>2320200</v>
      </c>
      <c r="I550" s="5">
        <f t="shared" si="22"/>
        <v>-7.8279104775821878E-3</v>
      </c>
      <c r="K550" s="5">
        <f t="shared" si="23"/>
        <v>548</v>
      </c>
      <c r="L550" s="5">
        <v>-2.2475264057225919E-3</v>
      </c>
    </row>
    <row r="551" spans="1:12" x14ac:dyDescent="0.25">
      <c r="A551" s="1">
        <v>44524</v>
      </c>
      <c r="B551">
        <v>658.010009765625</v>
      </c>
      <c r="C551">
        <v>661.44000244140625</v>
      </c>
      <c r="D551">
        <v>651.0999755859375</v>
      </c>
      <c r="E551">
        <v>658.28997802734375</v>
      </c>
      <c r="F551">
        <v>658.28997802734375</v>
      </c>
      <c r="G551">
        <v>1867300</v>
      </c>
      <c r="I551" s="5">
        <f t="shared" si="22"/>
        <v>6.4464437018760881E-3</v>
      </c>
      <c r="K551" s="5">
        <f t="shared" si="23"/>
        <v>549</v>
      </c>
      <c r="L551" s="5">
        <v>-2.2388959454005051E-3</v>
      </c>
    </row>
    <row r="552" spans="1:12" x14ac:dyDescent="0.25">
      <c r="A552" s="1">
        <v>44526</v>
      </c>
      <c r="B552">
        <v>675</v>
      </c>
      <c r="C552">
        <v>676.40997314453125</v>
      </c>
      <c r="D552">
        <v>660.66998291015625</v>
      </c>
      <c r="E552">
        <v>665.6400146484375</v>
      </c>
      <c r="F552">
        <v>665.6400146484375</v>
      </c>
      <c r="G552">
        <v>2872500</v>
      </c>
      <c r="I552" s="5">
        <f t="shared" si="22"/>
        <v>1.1103475524185944E-2</v>
      </c>
      <c r="K552" s="5">
        <f t="shared" si="23"/>
        <v>550</v>
      </c>
      <c r="L552" s="5">
        <v>-2.2297214118098948E-3</v>
      </c>
    </row>
    <row r="553" spans="1:12" x14ac:dyDescent="0.25">
      <c r="A553" s="1">
        <v>44529</v>
      </c>
      <c r="B553">
        <v>663.20001220703125</v>
      </c>
      <c r="C553">
        <v>667.989990234375</v>
      </c>
      <c r="D553">
        <v>658.28997802734375</v>
      </c>
      <c r="E553">
        <v>663.84002685546875</v>
      </c>
      <c r="F553">
        <v>663.84002685546875</v>
      </c>
      <c r="G553">
        <v>2529400</v>
      </c>
      <c r="I553" s="5">
        <f t="shared" si="22"/>
        <v>-2.7078088224014008E-3</v>
      </c>
      <c r="K553" s="5">
        <f t="shared" si="23"/>
        <v>551</v>
      </c>
      <c r="L553" s="5">
        <v>-2.2254744828878342E-3</v>
      </c>
    </row>
    <row r="554" spans="1:12" x14ac:dyDescent="0.25">
      <c r="A554" s="1">
        <v>44530</v>
      </c>
      <c r="B554">
        <v>668.20001220703125</v>
      </c>
      <c r="C554">
        <v>675.3800048828125</v>
      </c>
      <c r="D554">
        <v>640.010009765625</v>
      </c>
      <c r="E554">
        <v>641.9000244140625</v>
      </c>
      <c r="F554">
        <v>641.9000244140625</v>
      </c>
      <c r="G554">
        <v>5608900</v>
      </c>
      <c r="I554" s="5">
        <f t="shared" si="22"/>
        <v>-3.3608630687497365E-2</v>
      </c>
      <c r="K554" s="5">
        <f t="shared" si="23"/>
        <v>552</v>
      </c>
      <c r="L554" s="5">
        <v>-2.1066394205422625E-3</v>
      </c>
    </row>
    <row r="555" spans="1:12" x14ac:dyDescent="0.25">
      <c r="A555" s="1">
        <v>44531</v>
      </c>
      <c r="B555">
        <v>649.47998046875</v>
      </c>
      <c r="C555">
        <v>654.52001953125</v>
      </c>
      <c r="D555">
        <v>617.07000732421875</v>
      </c>
      <c r="E555">
        <v>617.77001953125</v>
      </c>
      <c r="F555">
        <v>617.77001953125</v>
      </c>
      <c r="G555">
        <v>3882800</v>
      </c>
      <c r="I555" s="5">
        <f t="shared" si="22"/>
        <v>-3.8316314834963151E-2</v>
      </c>
      <c r="K555" s="5">
        <f t="shared" si="23"/>
        <v>553</v>
      </c>
      <c r="L555" s="5">
        <v>-2.089813383749486E-3</v>
      </c>
    </row>
    <row r="556" spans="1:12" x14ac:dyDescent="0.25">
      <c r="A556" s="1">
        <v>44532</v>
      </c>
      <c r="B556">
        <v>617.0999755859375</v>
      </c>
      <c r="C556">
        <v>625.3599853515625</v>
      </c>
      <c r="D556">
        <v>612.8800048828125</v>
      </c>
      <c r="E556">
        <v>616.469970703125</v>
      </c>
      <c r="F556">
        <v>616.469970703125</v>
      </c>
      <c r="G556">
        <v>3331100</v>
      </c>
      <c r="I556" s="5">
        <f t="shared" si="22"/>
        <v>-2.1066394205422625E-3</v>
      </c>
      <c r="K556" s="5">
        <f t="shared" si="23"/>
        <v>554</v>
      </c>
      <c r="L556" s="5">
        <v>-2.0860623472626406E-3</v>
      </c>
    </row>
    <row r="557" spans="1:12" x14ac:dyDescent="0.25">
      <c r="A557" s="1">
        <v>44533</v>
      </c>
      <c r="B557">
        <v>622.75</v>
      </c>
      <c r="C557">
        <v>625.5</v>
      </c>
      <c r="D557">
        <v>594</v>
      </c>
      <c r="E557">
        <v>602.1300048828125</v>
      </c>
      <c r="F557">
        <v>602.1300048828125</v>
      </c>
      <c r="G557">
        <v>4829300</v>
      </c>
      <c r="I557" s="5">
        <f t="shared" si="22"/>
        <v>-2.3536235147540933E-2</v>
      </c>
      <c r="K557" s="5">
        <f t="shared" si="23"/>
        <v>555</v>
      </c>
      <c r="L557" s="5">
        <v>-2.0348558064991829E-3</v>
      </c>
    </row>
    <row r="558" spans="1:12" x14ac:dyDescent="0.25">
      <c r="A558" s="1">
        <v>44536</v>
      </c>
      <c r="B558">
        <v>606.010009765625</v>
      </c>
      <c r="C558">
        <v>617.28997802734375</v>
      </c>
      <c r="D558">
        <v>601</v>
      </c>
      <c r="E558">
        <v>612.69000244140625</v>
      </c>
      <c r="F558">
        <v>612.69000244140625</v>
      </c>
      <c r="G558">
        <v>3075700</v>
      </c>
      <c r="I558" s="5">
        <f t="shared" si="22"/>
        <v>1.7385725433165147E-2</v>
      </c>
      <c r="K558" s="5">
        <f t="shared" si="23"/>
        <v>556</v>
      </c>
      <c r="L558" s="5">
        <v>-2.0181078400265543E-3</v>
      </c>
    </row>
    <row r="559" spans="1:12" x14ac:dyDescent="0.25">
      <c r="A559" s="1">
        <v>44537</v>
      </c>
      <c r="B559">
        <v>619.83001708984375</v>
      </c>
      <c r="C559">
        <v>628.8900146484375</v>
      </c>
      <c r="D559">
        <v>611.4000244140625</v>
      </c>
      <c r="E559">
        <v>625.58001708984375</v>
      </c>
      <c r="F559">
        <v>625.58001708984375</v>
      </c>
      <c r="G559">
        <v>3125200</v>
      </c>
      <c r="I559" s="5">
        <f t="shared" si="22"/>
        <v>2.0820144347097867E-2</v>
      </c>
      <c r="K559" s="5">
        <f t="shared" si="23"/>
        <v>557</v>
      </c>
      <c r="L559" s="5">
        <v>-1.9952118157479087E-3</v>
      </c>
    </row>
    <row r="560" spans="1:12" x14ac:dyDescent="0.25">
      <c r="A560" s="1">
        <v>44538</v>
      </c>
      <c r="B560">
        <v>630</v>
      </c>
      <c r="C560">
        <v>632.46002197265625</v>
      </c>
      <c r="D560">
        <v>623.20001220703125</v>
      </c>
      <c r="E560">
        <v>628.08001708984375</v>
      </c>
      <c r="F560">
        <v>628.08001708984375</v>
      </c>
      <c r="G560">
        <v>2220300</v>
      </c>
      <c r="I560" s="5">
        <f t="shared" si="22"/>
        <v>3.9883273706531591E-3</v>
      </c>
      <c r="K560" s="5">
        <f t="shared" si="23"/>
        <v>558</v>
      </c>
      <c r="L560" s="5">
        <v>-1.9208293770965517E-3</v>
      </c>
    </row>
    <row r="561" spans="1:12" x14ac:dyDescent="0.25">
      <c r="A561" s="1">
        <v>44539</v>
      </c>
      <c r="B561">
        <v>627.58001708984375</v>
      </c>
      <c r="C561">
        <v>630.239990234375</v>
      </c>
      <c r="D561">
        <v>610.44000244140625</v>
      </c>
      <c r="E561">
        <v>611</v>
      </c>
      <c r="F561">
        <v>611</v>
      </c>
      <c r="G561">
        <v>2376300</v>
      </c>
      <c r="I561" s="5">
        <f t="shared" si="22"/>
        <v>-2.7570614928065156E-2</v>
      </c>
      <c r="K561" s="5">
        <f t="shared" si="23"/>
        <v>559</v>
      </c>
      <c r="L561" s="5">
        <v>-1.8927461458489933E-3</v>
      </c>
    </row>
    <row r="562" spans="1:12" x14ac:dyDescent="0.25">
      <c r="A562" s="1">
        <v>44540</v>
      </c>
      <c r="B562">
        <v>616.780029296875</v>
      </c>
      <c r="C562">
        <v>617.739990234375</v>
      </c>
      <c r="D562">
        <v>605.8800048828125</v>
      </c>
      <c r="E562">
        <v>611.65997314453125</v>
      </c>
      <c r="F562">
        <v>611.65997314453125</v>
      </c>
      <c r="G562">
        <v>2748800</v>
      </c>
      <c r="I562" s="5">
        <f t="shared" si="22"/>
        <v>1.079569501129789E-3</v>
      </c>
      <c r="K562" s="5">
        <f t="shared" si="23"/>
        <v>560</v>
      </c>
      <c r="L562" s="5">
        <v>-1.8836178480396493E-3</v>
      </c>
    </row>
    <row r="563" spans="1:12" x14ac:dyDescent="0.25">
      <c r="A563" s="1">
        <v>44543</v>
      </c>
      <c r="B563">
        <v>612</v>
      </c>
      <c r="C563">
        <v>612.6400146484375</v>
      </c>
      <c r="D563">
        <v>599.52001953125</v>
      </c>
      <c r="E563">
        <v>604.55999755859375</v>
      </c>
      <c r="F563">
        <v>604.55999755859375</v>
      </c>
      <c r="G563">
        <v>2517900</v>
      </c>
      <c r="I563" s="5">
        <f t="shared" si="22"/>
        <v>-1.1675611998579877E-2</v>
      </c>
      <c r="K563" s="5">
        <f t="shared" si="23"/>
        <v>561</v>
      </c>
      <c r="L563" s="5">
        <v>-1.7121711212707595E-3</v>
      </c>
    </row>
    <row r="564" spans="1:12" x14ac:dyDescent="0.25">
      <c r="A564" s="1">
        <v>44544</v>
      </c>
      <c r="B564">
        <v>598.71002197265625</v>
      </c>
      <c r="C564">
        <v>602.28997802734375</v>
      </c>
      <c r="D564">
        <v>588.1300048828125</v>
      </c>
      <c r="E564">
        <v>597.989990234375</v>
      </c>
      <c r="F564">
        <v>597.989990234375</v>
      </c>
      <c r="G564">
        <v>2984500</v>
      </c>
      <c r="I564" s="5">
        <f t="shared" si="22"/>
        <v>-1.0926901602111056E-2</v>
      </c>
      <c r="K564" s="5">
        <f t="shared" si="23"/>
        <v>562</v>
      </c>
      <c r="L564" s="5">
        <v>-1.6876648526747821E-3</v>
      </c>
    </row>
    <row r="565" spans="1:12" x14ac:dyDescent="0.25">
      <c r="A565" s="1">
        <v>44545</v>
      </c>
      <c r="B565">
        <v>598.17999267578125</v>
      </c>
      <c r="C565">
        <v>605.69000244140625</v>
      </c>
      <c r="D565">
        <v>584.510009765625</v>
      </c>
      <c r="E565">
        <v>605.03997802734375</v>
      </c>
      <c r="F565">
        <v>605.03997802734375</v>
      </c>
      <c r="G565">
        <v>2866200</v>
      </c>
      <c r="I565" s="5">
        <f t="shared" si="22"/>
        <v>1.1720520159700234E-2</v>
      </c>
      <c r="K565" s="5">
        <f t="shared" si="23"/>
        <v>563</v>
      </c>
      <c r="L565" s="5">
        <v>-1.640491984094149E-3</v>
      </c>
    </row>
    <row r="566" spans="1:12" x14ac:dyDescent="0.25">
      <c r="A566" s="1">
        <v>44546</v>
      </c>
      <c r="B566">
        <v>597.09002685546875</v>
      </c>
      <c r="C566">
        <v>602.83001708984375</v>
      </c>
      <c r="D566">
        <v>588</v>
      </c>
      <c r="E566">
        <v>591.05999755859375</v>
      </c>
      <c r="F566">
        <v>591.05999755859375</v>
      </c>
      <c r="G566">
        <v>3143200</v>
      </c>
      <c r="I566" s="5">
        <f t="shared" si="22"/>
        <v>-2.3377004266647346E-2</v>
      </c>
      <c r="K566" s="5">
        <f t="shared" si="23"/>
        <v>564</v>
      </c>
      <c r="L566" s="5">
        <v>-1.58087356350646E-3</v>
      </c>
    </row>
    <row r="567" spans="1:12" x14ac:dyDescent="0.25">
      <c r="A567" s="1">
        <v>44547</v>
      </c>
      <c r="B567">
        <v>591.6099853515625</v>
      </c>
      <c r="C567">
        <v>593.25</v>
      </c>
      <c r="D567">
        <v>581.739990234375</v>
      </c>
      <c r="E567">
        <v>586.72998046875</v>
      </c>
      <c r="F567">
        <v>586.72998046875</v>
      </c>
      <c r="G567">
        <v>4386900</v>
      </c>
      <c r="I567" s="5">
        <f t="shared" si="22"/>
        <v>-7.3528161705276847E-3</v>
      </c>
      <c r="K567" s="5">
        <f t="shared" si="23"/>
        <v>565</v>
      </c>
      <c r="L567" s="5">
        <v>-1.5652529377579297E-3</v>
      </c>
    </row>
    <row r="568" spans="1:12" x14ac:dyDescent="0.25">
      <c r="A568" s="1">
        <v>44550</v>
      </c>
      <c r="B568">
        <v>586.42999267578125</v>
      </c>
      <c r="C568">
        <v>602.8800048828125</v>
      </c>
      <c r="D568">
        <v>584.260009765625</v>
      </c>
      <c r="E568">
        <v>593.739990234375</v>
      </c>
      <c r="F568">
        <v>593.739990234375</v>
      </c>
      <c r="G568">
        <v>3358400</v>
      </c>
      <c r="I568" s="5">
        <f t="shared" si="22"/>
        <v>1.1876781859552911E-2</v>
      </c>
      <c r="K568" s="5">
        <f t="shared" si="23"/>
        <v>566</v>
      </c>
      <c r="L568" s="5">
        <v>-1.467541442101676E-3</v>
      </c>
    </row>
    <row r="569" spans="1:12" x14ac:dyDescent="0.25">
      <c r="A569" s="1">
        <v>44551</v>
      </c>
      <c r="B569">
        <v>597.53997802734375</v>
      </c>
      <c r="C569">
        <v>607.82000732421875</v>
      </c>
      <c r="D569">
        <v>593.8599853515625</v>
      </c>
      <c r="E569">
        <v>604.91998291015625</v>
      </c>
      <c r="F569">
        <v>604.91998291015625</v>
      </c>
      <c r="G569">
        <v>2319400</v>
      </c>
      <c r="I569" s="5">
        <f t="shared" si="22"/>
        <v>1.8654692977015695E-2</v>
      </c>
      <c r="K569" s="5">
        <f t="shared" si="23"/>
        <v>567</v>
      </c>
      <c r="L569" s="5">
        <v>-1.3775951729497827E-3</v>
      </c>
    </row>
    <row r="570" spans="1:12" x14ac:dyDescent="0.25">
      <c r="A570" s="1">
        <v>44552</v>
      </c>
      <c r="B570">
        <v>603.3599853515625</v>
      </c>
      <c r="C570">
        <v>614.82000732421875</v>
      </c>
      <c r="D570">
        <v>602.6300048828125</v>
      </c>
      <c r="E570">
        <v>614.239990234375</v>
      </c>
      <c r="F570">
        <v>614.239990234375</v>
      </c>
      <c r="G570">
        <v>2335700</v>
      </c>
      <c r="I570" s="5">
        <f t="shared" si="22"/>
        <v>1.5289525722647168E-2</v>
      </c>
      <c r="K570" s="5">
        <f t="shared" si="23"/>
        <v>568</v>
      </c>
      <c r="L570" s="5">
        <v>-1.3542960244494603E-3</v>
      </c>
    </row>
    <row r="571" spans="1:12" x14ac:dyDescent="0.25">
      <c r="A571" s="1">
        <v>44553</v>
      </c>
      <c r="B571">
        <v>616.4000244140625</v>
      </c>
      <c r="C571">
        <v>616.8800048828125</v>
      </c>
      <c r="D571">
        <v>607.57000732421875</v>
      </c>
      <c r="E571">
        <v>614.09002685546875</v>
      </c>
      <c r="F571">
        <v>614.09002685546875</v>
      </c>
      <c r="G571">
        <v>1621100</v>
      </c>
      <c r="I571" s="5">
        <f t="shared" si="22"/>
        <v>-2.4417441170508051E-4</v>
      </c>
      <c r="K571" s="5">
        <f t="shared" si="23"/>
        <v>569</v>
      </c>
      <c r="L571" s="5">
        <v>-1.3440589078570948E-3</v>
      </c>
    </row>
    <row r="572" spans="1:12" x14ac:dyDescent="0.25">
      <c r="A572" s="1">
        <v>44557</v>
      </c>
      <c r="B572">
        <v>615</v>
      </c>
      <c r="C572">
        <v>615</v>
      </c>
      <c r="D572">
        <v>609.25</v>
      </c>
      <c r="E572">
        <v>613.1199951171875</v>
      </c>
      <c r="F572">
        <v>613.1199951171875</v>
      </c>
      <c r="G572">
        <v>2061500</v>
      </c>
      <c r="I572" s="5">
        <f t="shared" si="22"/>
        <v>-1.58087356350646E-3</v>
      </c>
      <c r="K572" s="5">
        <f t="shared" si="23"/>
        <v>570</v>
      </c>
      <c r="L572" s="5">
        <v>-1.3280770604670129E-3</v>
      </c>
    </row>
    <row r="573" spans="1:12" x14ac:dyDescent="0.25">
      <c r="A573" s="1">
        <v>44558</v>
      </c>
      <c r="B573">
        <v>614.95001220703125</v>
      </c>
      <c r="C573">
        <v>618.40997314453125</v>
      </c>
      <c r="D573">
        <v>609.69000244140625</v>
      </c>
      <c r="E573">
        <v>610.71002197265625</v>
      </c>
      <c r="F573">
        <v>610.71002197265625</v>
      </c>
      <c r="G573">
        <v>1882800</v>
      </c>
      <c r="I573" s="5">
        <f t="shared" si="22"/>
        <v>-3.9384166526287576E-3</v>
      </c>
      <c r="K573" s="5">
        <f t="shared" si="23"/>
        <v>571</v>
      </c>
      <c r="L573" s="5">
        <v>-1.3171504496641137E-3</v>
      </c>
    </row>
    <row r="574" spans="1:12" x14ac:dyDescent="0.25">
      <c r="A574" s="1">
        <v>44559</v>
      </c>
      <c r="B574">
        <v>610.71002197265625</v>
      </c>
      <c r="C574">
        <v>613.97998046875</v>
      </c>
      <c r="D574">
        <v>604.67999267578125</v>
      </c>
      <c r="E574">
        <v>610.53997802734375</v>
      </c>
      <c r="F574">
        <v>610.53997802734375</v>
      </c>
      <c r="G574">
        <v>1287200</v>
      </c>
      <c r="I574" s="5">
        <f t="shared" si="22"/>
        <v>-2.7847524489066323E-4</v>
      </c>
      <c r="K574" s="5">
        <f t="shared" si="23"/>
        <v>572</v>
      </c>
      <c r="L574" s="5">
        <v>-1.2859632269285387E-3</v>
      </c>
    </row>
    <row r="575" spans="1:12" x14ac:dyDescent="0.25">
      <c r="A575" s="1">
        <v>44560</v>
      </c>
      <c r="B575">
        <v>612.989990234375</v>
      </c>
      <c r="C575">
        <v>620.6099853515625</v>
      </c>
      <c r="D575">
        <v>611.239990234375</v>
      </c>
      <c r="E575">
        <v>612.09002685546875</v>
      </c>
      <c r="F575">
        <v>612.09002685546875</v>
      </c>
      <c r="G575">
        <v>1625100</v>
      </c>
      <c r="I575" s="5">
        <f t="shared" si="22"/>
        <v>2.5355989177543053E-3</v>
      </c>
      <c r="K575" s="5">
        <f t="shared" si="23"/>
        <v>573</v>
      </c>
      <c r="L575" s="5">
        <v>-1.2627267236098782E-3</v>
      </c>
    </row>
    <row r="576" spans="1:12" x14ac:dyDescent="0.25">
      <c r="A576" s="1">
        <v>44561</v>
      </c>
      <c r="B576">
        <v>610.010009765625</v>
      </c>
      <c r="C576">
        <v>614.08001708984375</v>
      </c>
      <c r="D576">
        <v>602.04998779296875</v>
      </c>
      <c r="E576">
        <v>602.44000244140625</v>
      </c>
      <c r="F576">
        <v>602.44000244140625</v>
      </c>
      <c r="G576">
        <v>1995900</v>
      </c>
      <c r="I576" s="5">
        <f t="shared" si="22"/>
        <v>-1.5891295002620445E-2</v>
      </c>
      <c r="K576" s="5">
        <f t="shared" si="23"/>
        <v>574</v>
      </c>
      <c r="L576" s="5">
        <v>-1.2048909515104233E-3</v>
      </c>
    </row>
    <row r="577" spans="1:12" x14ac:dyDescent="0.25">
      <c r="A577" s="1">
        <v>44564</v>
      </c>
      <c r="B577">
        <v>605.6099853515625</v>
      </c>
      <c r="C577">
        <v>609.989990234375</v>
      </c>
      <c r="D577">
        <v>590.55999755859375</v>
      </c>
      <c r="E577">
        <v>597.3699951171875</v>
      </c>
      <c r="F577">
        <v>597.3699951171875</v>
      </c>
      <c r="G577">
        <v>3067500</v>
      </c>
      <c r="I577" s="5">
        <f t="shared" si="22"/>
        <v>-8.4514006586063235E-3</v>
      </c>
      <c r="K577" s="5">
        <f t="shared" si="23"/>
        <v>575</v>
      </c>
      <c r="L577" s="5">
        <v>-1.1805159776621663E-3</v>
      </c>
    </row>
    <row r="578" spans="1:12" x14ac:dyDescent="0.25">
      <c r="A578" s="1">
        <v>44565</v>
      </c>
      <c r="B578">
        <v>599.90997314453125</v>
      </c>
      <c r="C578">
        <v>600.40997314453125</v>
      </c>
      <c r="D578">
        <v>581.5999755859375</v>
      </c>
      <c r="E578">
        <v>591.1500244140625</v>
      </c>
      <c r="F578">
        <v>591.1500244140625</v>
      </c>
      <c r="G578">
        <v>4393100</v>
      </c>
      <c r="I578" s="5">
        <f t="shared" si="22"/>
        <v>-1.0466845129181841E-2</v>
      </c>
      <c r="K578" s="5">
        <f t="shared" si="23"/>
        <v>576</v>
      </c>
      <c r="L578" s="5">
        <v>-1.1148602103855376E-3</v>
      </c>
    </row>
    <row r="579" spans="1:12" x14ac:dyDescent="0.25">
      <c r="A579" s="1">
        <v>44566</v>
      </c>
      <c r="B579">
        <v>592</v>
      </c>
      <c r="C579">
        <v>592.84002685546875</v>
      </c>
      <c r="D579">
        <v>566.8800048828125</v>
      </c>
      <c r="E579">
        <v>567.52001953125</v>
      </c>
      <c r="F579">
        <v>567.52001953125</v>
      </c>
      <c r="G579">
        <v>4148700</v>
      </c>
      <c r="I579" s="5">
        <f t="shared" si="22"/>
        <v>-4.0793808167992086E-2</v>
      </c>
      <c r="K579" s="5">
        <f t="shared" si="23"/>
        <v>577</v>
      </c>
      <c r="L579" s="5">
        <v>-1.0901894200920159E-3</v>
      </c>
    </row>
    <row r="580" spans="1:12" x14ac:dyDescent="0.25">
      <c r="A580" s="1">
        <v>44567</v>
      </c>
      <c r="B580">
        <v>554.34002685546875</v>
      </c>
      <c r="C580">
        <v>563.3599853515625</v>
      </c>
      <c r="D580">
        <v>542.010009765625</v>
      </c>
      <c r="E580">
        <v>553.28997802734375</v>
      </c>
      <c r="F580">
        <v>553.28997802734375</v>
      </c>
      <c r="G580">
        <v>5711800</v>
      </c>
      <c r="I580" s="5">
        <f t="shared" ref="I580:I643" si="24">LN(F580/F579)</f>
        <v>-2.5393788790304038E-2</v>
      </c>
      <c r="K580" s="5">
        <f t="shared" ref="K580:K643" si="25">_xlfn.RANK.AVG(L580,_xlfn.ANCHORARRAY($L$3),1)</f>
        <v>578</v>
      </c>
      <c r="L580" s="5">
        <v>-1.0884828647708328E-3</v>
      </c>
    </row>
    <row r="581" spans="1:12" x14ac:dyDescent="0.25">
      <c r="A581" s="1">
        <v>44568</v>
      </c>
      <c r="B581">
        <v>549.46002197265625</v>
      </c>
      <c r="C581">
        <v>553.42999267578125</v>
      </c>
      <c r="D581">
        <v>538.219970703125</v>
      </c>
      <c r="E581">
        <v>541.05999755859375</v>
      </c>
      <c r="F581">
        <v>541.05999755859375</v>
      </c>
      <c r="G581">
        <v>3382900</v>
      </c>
      <c r="I581" s="5">
        <f t="shared" si="24"/>
        <v>-2.2352062735333869E-2</v>
      </c>
      <c r="K581" s="5">
        <f t="shared" si="25"/>
        <v>579</v>
      </c>
      <c r="L581" s="5">
        <v>-1.0783833096680248E-3</v>
      </c>
    </row>
    <row r="582" spans="1:12" x14ac:dyDescent="0.25">
      <c r="A582" s="1">
        <v>44571</v>
      </c>
      <c r="B582">
        <v>538.489990234375</v>
      </c>
      <c r="C582">
        <v>543.69000244140625</v>
      </c>
      <c r="D582">
        <v>526.32000732421875</v>
      </c>
      <c r="E582">
        <v>539.8499755859375</v>
      </c>
      <c r="F582">
        <v>539.8499755859375</v>
      </c>
      <c r="G582">
        <v>4486100</v>
      </c>
      <c r="I582" s="5">
        <f t="shared" si="24"/>
        <v>-2.2388959454005051E-3</v>
      </c>
      <c r="K582" s="5">
        <f t="shared" si="25"/>
        <v>580</v>
      </c>
      <c r="L582" s="5">
        <v>-1.0024660278005748E-3</v>
      </c>
    </row>
    <row r="583" spans="1:12" x14ac:dyDescent="0.25">
      <c r="A583" s="1">
        <v>44572</v>
      </c>
      <c r="B583">
        <v>536.989990234375</v>
      </c>
      <c r="C583">
        <v>543.90997314453125</v>
      </c>
      <c r="D583">
        <v>530.07000732421875</v>
      </c>
      <c r="E583">
        <v>540.84002685546875</v>
      </c>
      <c r="F583">
        <v>540.84002685546875</v>
      </c>
      <c r="G583">
        <v>3077800</v>
      </c>
      <c r="I583" s="5">
        <f t="shared" si="24"/>
        <v>1.8322581763049026E-3</v>
      </c>
      <c r="K583" s="5">
        <f t="shared" si="25"/>
        <v>581</v>
      </c>
      <c r="L583" s="5">
        <v>-9.9180287159478134E-4</v>
      </c>
    </row>
    <row r="584" spans="1:12" x14ac:dyDescent="0.25">
      <c r="A584" s="1">
        <v>44573</v>
      </c>
      <c r="B584">
        <v>544.27001953125</v>
      </c>
      <c r="C584">
        <v>544.27001953125</v>
      </c>
      <c r="D584">
        <v>532.02001953125</v>
      </c>
      <c r="E584">
        <v>537.219970703125</v>
      </c>
      <c r="F584">
        <v>537.219970703125</v>
      </c>
      <c r="G584">
        <v>3787400</v>
      </c>
      <c r="I584" s="5">
        <f t="shared" si="24"/>
        <v>-6.7158966419217682E-3</v>
      </c>
      <c r="K584" s="5">
        <f t="shared" si="25"/>
        <v>582</v>
      </c>
      <c r="L584" s="5">
        <v>-8.7614648577417475E-4</v>
      </c>
    </row>
    <row r="585" spans="1:12" x14ac:dyDescent="0.25">
      <c r="A585" s="1">
        <v>44574</v>
      </c>
      <c r="B585">
        <v>537.05999755859375</v>
      </c>
      <c r="C585">
        <v>540.78997802734375</v>
      </c>
      <c r="D585">
        <v>518.260009765625</v>
      </c>
      <c r="E585">
        <v>519.20001220703125</v>
      </c>
      <c r="F585">
        <v>519.20001220703125</v>
      </c>
      <c r="G585">
        <v>4475100</v>
      </c>
      <c r="I585" s="5">
        <f t="shared" si="24"/>
        <v>-3.4118450602631224E-2</v>
      </c>
      <c r="K585" s="5">
        <f t="shared" si="25"/>
        <v>583</v>
      </c>
      <c r="L585" s="5">
        <v>-8.7391860750103472E-4</v>
      </c>
    </row>
    <row r="586" spans="1:12" x14ac:dyDescent="0.25">
      <c r="A586" s="1">
        <v>44575</v>
      </c>
      <c r="B586">
        <v>517.5999755859375</v>
      </c>
      <c r="C586">
        <v>538.3699951171875</v>
      </c>
      <c r="D586">
        <v>511.8800048828125</v>
      </c>
      <c r="E586">
        <v>525.69000244140625</v>
      </c>
      <c r="F586">
        <v>525.69000244140625</v>
      </c>
      <c r="G586">
        <v>7861100</v>
      </c>
      <c r="I586" s="5">
        <f t="shared" si="24"/>
        <v>1.2422501131520054E-2</v>
      </c>
      <c r="K586" s="5">
        <f t="shared" si="25"/>
        <v>584</v>
      </c>
      <c r="L586" s="5">
        <v>-8.5521926857986196E-4</v>
      </c>
    </row>
    <row r="587" spans="1:12" x14ac:dyDescent="0.25">
      <c r="A587" s="1">
        <v>44579</v>
      </c>
      <c r="B587">
        <v>520.08001708984375</v>
      </c>
      <c r="C587">
        <v>521.75</v>
      </c>
      <c r="D587">
        <v>508.67999267578125</v>
      </c>
      <c r="E587">
        <v>510.79998779296875</v>
      </c>
      <c r="F587">
        <v>510.79998779296875</v>
      </c>
      <c r="G587">
        <v>4839100</v>
      </c>
      <c r="I587" s="5">
        <f t="shared" si="24"/>
        <v>-2.873358977211583E-2</v>
      </c>
      <c r="K587" s="5">
        <f t="shared" si="25"/>
        <v>585</v>
      </c>
      <c r="L587" s="5">
        <v>-8.1354322468222922E-4</v>
      </c>
    </row>
    <row r="588" spans="1:12" x14ac:dyDescent="0.25">
      <c r="A588" s="1">
        <v>44580</v>
      </c>
      <c r="B588">
        <v>515</v>
      </c>
      <c r="C588">
        <v>523.21002197265625</v>
      </c>
      <c r="D588">
        <v>510.510009765625</v>
      </c>
      <c r="E588">
        <v>515.8599853515625</v>
      </c>
      <c r="F588">
        <v>515.8599853515625</v>
      </c>
      <c r="G588">
        <v>4353500</v>
      </c>
      <c r="I588" s="5">
        <f t="shared" si="24"/>
        <v>9.8572821820992699E-3</v>
      </c>
      <c r="K588" s="5">
        <f t="shared" si="25"/>
        <v>586</v>
      </c>
      <c r="L588" s="5">
        <v>-8.0369354705616455E-4</v>
      </c>
    </row>
    <row r="589" spans="1:12" x14ac:dyDescent="0.25">
      <c r="A589" s="1">
        <v>44581</v>
      </c>
      <c r="B589">
        <v>517.75</v>
      </c>
      <c r="C589">
        <v>526.6400146484375</v>
      </c>
      <c r="D589">
        <v>506.92999267578125</v>
      </c>
      <c r="E589">
        <v>508.25</v>
      </c>
      <c r="F589">
        <v>508.25</v>
      </c>
      <c r="G589">
        <v>12659000</v>
      </c>
      <c r="I589" s="5">
        <f t="shared" si="24"/>
        <v>-1.4861929934158583E-2</v>
      </c>
      <c r="K589" s="5">
        <f t="shared" si="25"/>
        <v>587</v>
      </c>
      <c r="L589" s="5">
        <v>-7.9765294393460402E-4</v>
      </c>
    </row>
    <row r="590" spans="1:12" x14ac:dyDescent="0.25">
      <c r="A590" s="1">
        <v>44582</v>
      </c>
      <c r="B590">
        <v>400.42999267578125</v>
      </c>
      <c r="C590">
        <v>409.14999389648438</v>
      </c>
      <c r="D590">
        <v>379.989990234375</v>
      </c>
      <c r="E590">
        <v>397.5</v>
      </c>
      <c r="F590">
        <v>397.5</v>
      </c>
      <c r="G590">
        <v>58904300</v>
      </c>
      <c r="I590" s="5">
        <f t="shared" si="24"/>
        <v>-0.24577851841406947</v>
      </c>
      <c r="K590" s="5">
        <f t="shared" si="25"/>
        <v>588</v>
      </c>
      <c r="L590" s="5">
        <v>-7.9305447327227875E-4</v>
      </c>
    </row>
    <row r="591" spans="1:12" x14ac:dyDescent="0.25">
      <c r="A591" s="1">
        <v>44585</v>
      </c>
      <c r="B591">
        <v>383.91000366210938</v>
      </c>
      <c r="C591">
        <v>387.260009765625</v>
      </c>
      <c r="D591">
        <v>351.45999145507813</v>
      </c>
      <c r="E591">
        <v>387.14999389648438</v>
      </c>
      <c r="F591">
        <v>387.14999389648438</v>
      </c>
      <c r="G591">
        <v>32346000</v>
      </c>
      <c r="I591" s="5">
        <f t="shared" si="24"/>
        <v>-2.6382735026901812E-2</v>
      </c>
      <c r="K591" s="5">
        <f t="shared" si="25"/>
        <v>589</v>
      </c>
      <c r="L591" s="5">
        <v>-7.6760699647291525E-4</v>
      </c>
    </row>
    <row r="592" spans="1:12" x14ac:dyDescent="0.25">
      <c r="A592" s="1">
        <v>44586</v>
      </c>
      <c r="B592">
        <v>379.1400146484375</v>
      </c>
      <c r="C592">
        <v>387.70999145507813</v>
      </c>
      <c r="D592">
        <v>365.1300048828125</v>
      </c>
      <c r="E592">
        <v>366.42001342773438</v>
      </c>
      <c r="F592">
        <v>366.42001342773438</v>
      </c>
      <c r="G592">
        <v>15145800</v>
      </c>
      <c r="I592" s="5">
        <f t="shared" si="24"/>
        <v>-5.5031945958640721E-2</v>
      </c>
      <c r="K592" s="5">
        <f t="shared" si="25"/>
        <v>590</v>
      </c>
      <c r="L592" s="5">
        <v>-7.6243433805235259E-4</v>
      </c>
    </row>
    <row r="593" spans="1:12" x14ac:dyDescent="0.25">
      <c r="A593" s="1">
        <v>44587</v>
      </c>
      <c r="B593">
        <v>378.26998901367188</v>
      </c>
      <c r="C593">
        <v>382.66000366210938</v>
      </c>
      <c r="D593">
        <v>356.6199951171875</v>
      </c>
      <c r="E593">
        <v>359.70001220703125</v>
      </c>
      <c r="F593">
        <v>359.70001220703125</v>
      </c>
      <c r="G593">
        <v>12684000</v>
      </c>
      <c r="I593" s="5">
        <f t="shared" si="24"/>
        <v>-1.8509868470565686E-2</v>
      </c>
      <c r="K593" s="5">
        <f t="shared" si="25"/>
        <v>591</v>
      </c>
      <c r="L593" s="5">
        <v>-7.472363353825855E-4</v>
      </c>
    </row>
    <row r="594" spans="1:12" x14ac:dyDescent="0.25">
      <c r="A594" s="1">
        <v>44588</v>
      </c>
      <c r="B594">
        <v>382.05999755859375</v>
      </c>
      <c r="C594">
        <v>394.79998779296875</v>
      </c>
      <c r="D594">
        <v>378.10000610351563</v>
      </c>
      <c r="E594">
        <v>386.70001220703125</v>
      </c>
      <c r="F594">
        <v>386.70001220703125</v>
      </c>
      <c r="G594">
        <v>24324700</v>
      </c>
      <c r="I594" s="5">
        <f t="shared" si="24"/>
        <v>7.237884554215962E-2</v>
      </c>
      <c r="K594" s="5">
        <f t="shared" si="25"/>
        <v>592</v>
      </c>
      <c r="L594" s="5">
        <v>-7.0501239458171645E-4</v>
      </c>
    </row>
    <row r="595" spans="1:12" x14ac:dyDescent="0.25">
      <c r="A595" s="1">
        <v>44589</v>
      </c>
      <c r="B595">
        <v>386.760009765625</v>
      </c>
      <c r="C595">
        <v>387</v>
      </c>
      <c r="D595">
        <v>372.07998657226563</v>
      </c>
      <c r="E595">
        <v>384.3599853515625</v>
      </c>
      <c r="F595">
        <v>384.3599853515625</v>
      </c>
      <c r="G595">
        <v>11966600</v>
      </c>
      <c r="I595" s="5">
        <f t="shared" si="24"/>
        <v>-6.0696548826150243E-3</v>
      </c>
      <c r="K595" s="5">
        <f t="shared" si="25"/>
        <v>593</v>
      </c>
      <c r="L595" s="5">
        <v>-6.8388876106312518E-4</v>
      </c>
    </row>
    <row r="596" spans="1:12" x14ac:dyDescent="0.25">
      <c r="A596" s="1">
        <v>44592</v>
      </c>
      <c r="B596">
        <v>401.97000122070313</v>
      </c>
      <c r="C596">
        <v>427.70001220703125</v>
      </c>
      <c r="D596">
        <v>398.20001220703125</v>
      </c>
      <c r="E596">
        <v>427.1400146484375</v>
      </c>
      <c r="F596">
        <v>427.1400146484375</v>
      </c>
      <c r="G596">
        <v>20047500</v>
      </c>
      <c r="I596" s="5">
        <f t="shared" si="24"/>
        <v>0.1055322873402436</v>
      </c>
      <c r="K596" s="5">
        <f t="shared" si="25"/>
        <v>594</v>
      </c>
      <c r="L596" s="5">
        <v>-6.7888900628847474E-4</v>
      </c>
    </row>
    <row r="597" spans="1:12" x14ac:dyDescent="0.25">
      <c r="A597" s="1">
        <v>44593</v>
      </c>
      <c r="B597">
        <v>432.95999145507813</v>
      </c>
      <c r="C597">
        <v>458.48001098632813</v>
      </c>
      <c r="D597">
        <v>425.54000854492188</v>
      </c>
      <c r="E597">
        <v>457.1300048828125</v>
      </c>
      <c r="F597">
        <v>457.1300048828125</v>
      </c>
      <c r="G597">
        <v>22568100</v>
      </c>
      <c r="I597" s="5">
        <f t="shared" si="24"/>
        <v>6.7855962380375501E-2</v>
      </c>
      <c r="K597" s="5">
        <f t="shared" si="25"/>
        <v>595</v>
      </c>
      <c r="L597" s="5">
        <v>-5.7147273875470417E-4</v>
      </c>
    </row>
    <row r="598" spans="1:12" x14ac:dyDescent="0.25">
      <c r="A598" s="1">
        <v>44594</v>
      </c>
      <c r="B598">
        <v>448.25</v>
      </c>
      <c r="C598">
        <v>451.98001098632813</v>
      </c>
      <c r="D598">
        <v>426.48001098632813</v>
      </c>
      <c r="E598">
        <v>429.48001098632813</v>
      </c>
      <c r="F598">
        <v>429.48001098632813</v>
      </c>
      <c r="G598">
        <v>14346000</v>
      </c>
      <c r="I598" s="5">
        <f t="shared" si="24"/>
        <v>-6.2392624871972779E-2</v>
      </c>
      <c r="K598" s="5">
        <f t="shared" si="25"/>
        <v>596</v>
      </c>
      <c r="L598" s="5">
        <v>-5.1059555018893301E-4</v>
      </c>
    </row>
    <row r="599" spans="1:12" x14ac:dyDescent="0.25">
      <c r="A599" s="1">
        <v>44595</v>
      </c>
      <c r="B599">
        <v>421.44000244140625</v>
      </c>
      <c r="C599">
        <v>429.260009765625</v>
      </c>
      <c r="D599">
        <v>404.27999877929688</v>
      </c>
      <c r="E599">
        <v>405.60000610351563</v>
      </c>
      <c r="F599">
        <v>405.60000610351563</v>
      </c>
      <c r="G599">
        <v>9905200</v>
      </c>
      <c r="I599" s="5">
        <f t="shared" si="24"/>
        <v>-5.7207732821380523E-2</v>
      </c>
      <c r="K599" s="5">
        <f t="shared" si="25"/>
        <v>597</v>
      </c>
      <c r="L599" s="5">
        <v>-4.9211319659679166E-4</v>
      </c>
    </row>
    <row r="600" spans="1:12" x14ac:dyDescent="0.25">
      <c r="A600" s="1">
        <v>44596</v>
      </c>
      <c r="B600">
        <v>407.30999755859375</v>
      </c>
      <c r="C600">
        <v>412.76998901367188</v>
      </c>
      <c r="D600">
        <v>396.6400146484375</v>
      </c>
      <c r="E600">
        <v>410.17001342773438</v>
      </c>
      <c r="F600">
        <v>410.17001342773438</v>
      </c>
      <c r="G600">
        <v>7789800</v>
      </c>
      <c r="I600" s="5">
        <f t="shared" si="24"/>
        <v>1.1204273319619996E-2</v>
      </c>
      <c r="K600" s="5">
        <f t="shared" si="25"/>
        <v>598</v>
      </c>
      <c r="L600" s="5">
        <v>-4.9071361465494743E-4</v>
      </c>
    </row>
    <row r="601" spans="1:12" x14ac:dyDescent="0.25">
      <c r="A601" s="1">
        <v>44599</v>
      </c>
      <c r="B601">
        <v>410.17001342773438</v>
      </c>
      <c r="C601">
        <v>412.35000610351563</v>
      </c>
      <c r="D601">
        <v>393.54998779296875</v>
      </c>
      <c r="E601">
        <v>402.10000610351563</v>
      </c>
      <c r="F601">
        <v>402.10000610351563</v>
      </c>
      <c r="G601">
        <v>8232900</v>
      </c>
      <c r="I601" s="5">
        <f t="shared" si="24"/>
        <v>-1.9870911562381667E-2</v>
      </c>
      <c r="K601" s="5">
        <f t="shared" si="25"/>
        <v>599</v>
      </c>
      <c r="L601" s="5">
        <v>-3.8156899429334128E-4</v>
      </c>
    </row>
    <row r="602" spans="1:12" x14ac:dyDescent="0.25">
      <c r="A602" s="1">
        <v>44600</v>
      </c>
      <c r="B602">
        <v>398.17999267578125</v>
      </c>
      <c r="C602">
        <v>406.6099853515625</v>
      </c>
      <c r="D602">
        <v>395.82998657226563</v>
      </c>
      <c r="E602">
        <v>403.52999877929688</v>
      </c>
      <c r="F602">
        <v>403.52999877929688</v>
      </c>
      <c r="G602">
        <v>6818500</v>
      </c>
      <c r="I602" s="5">
        <f t="shared" si="24"/>
        <v>3.5500022812112956E-3</v>
      </c>
      <c r="K602" s="5">
        <f t="shared" si="25"/>
        <v>600</v>
      </c>
      <c r="L602" s="5">
        <v>-3.5487111292568452E-4</v>
      </c>
    </row>
    <row r="603" spans="1:12" x14ac:dyDescent="0.25">
      <c r="A603" s="1">
        <v>44601</v>
      </c>
      <c r="B603">
        <v>408.64999389648438</v>
      </c>
      <c r="C603">
        <v>412.98001098632813</v>
      </c>
      <c r="D603">
        <v>398.79000854492188</v>
      </c>
      <c r="E603">
        <v>412.8900146484375</v>
      </c>
      <c r="F603">
        <v>412.8900146484375</v>
      </c>
      <c r="G603">
        <v>7738200</v>
      </c>
      <c r="I603" s="5">
        <f t="shared" si="24"/>
        <v>2.2930417773833003E-2</v>
      </c>
      <c r="K603" s="5">
        <f t="shared" si="25"/>
        <v>601</v>
      </c>
      <c r="L603" s="5">
        <v>-2.9908526469780815E-4</v>
      </c>
    </row>
    <row r="604" spans="1:12" x14ac:dyDescent="0.25">
      <c r="A604" s="1">
        <v>44602</v>
      </c>
      <c r="B604">
        <v>402.10000610351563</v>
      </c>
      <c r="C604">
        <v>408</v>
      </c>
      <c r="D604">
        <v>396.3599853515625</v>
      </c>
      <c r="E604">
        <v>406.26998901367188</v>
      </c>
      <c r="F604">
        <v>406.26998901367188</v>
      </c>
      <c r="G604">
        <v>8452900</v>
      </c>
      <c r="I604" s="5">
        <f t="shared" si="24"/>
        <v>-1.6163312977926021E-2</v>
      </c>
      <c r="K604" s="5">
        <f t="shared" si="25"/>
        <v>602</v>
      </c>
      <c r="L604" s="5">
        <v>-2.7847524489066323E-4</v>
      </c>
    </row>
    <row r="605" spans="1:12" x14ac:dyDescent="0.25">
      <c r="A605" s="1">
        <v>44603</v>
      </c>
      <c r="B605">
        <v>405.32998657226563</v>
      </c>
      <c r="C605">
        <v>411.6099853515625</v>
      </c>
      <c r="D605">
        <v>387.64999389648438</v>
      </c>
      <c r="E605">
        <v>391.30999755859375</v>
      </c>
      <c r="F605">
        <v>391.30999755859375</v>
      </c>
      <c r="G605">
        <v>7558900</v>
      </c>
      <c r="I605" s="5">
        <f t="shared" si="24"/>
        <v>-3.7517857669173156E-2</v>
      </c>
      <c r="K605" s="5">
        <f t="shared" si="25"/>
        <v>603</v>
      </c>
      <c r="L605" s="5">
        <v>-2.6222662706312094E-4</v>
      </c>
    </row>
    <row r="606" spans="1:12" x14ac:dyDescent="0.25">
      <c r="A606" s="1">
        <v>44606</v>
      </c>
      <c r="B606">
        <v>387.58999633789063</v>
      </c>
      <c r="C606">
        <v>409.3599853515625</v>
      </c>
      <c r="D606">
        <v>386.8900146484375</v>
      </c>
      <c r="E606">
        <v>396.57000732421875</v>
      </c>
      <c r="F606">
        <v>396.57000732421875</v>
      </c>
      <c r="G606">
        <v>7202200</v>
      </c>
      <c r="I606" s="5">
        <f t="shared" si="24"/>
        <v>1.3352510238063725E-2</v>
      </c>
      <c r="K606" s="5">
        <f t="shared" si="25"/>
        <v>604</v>
      </c>
      <c r="L606" s="5">
        <v>-2.4417441170508051E-4</v>
      </c>
    </row>
    <row r="607" spans="1:12" x14ac:dyDescent="0.25">
      <c r="A607" s="1">
        <v>44607</v>
      </c>
      <c r="B607">
        <v>403.79000854492188</v>
      </c>
      <c r="C607">
        <v>409.16000366210938</v>
      </c>
      <c r="D607">
        <v>401.010009765625</v>
      </c>
      <c r="E607">
        <v>407.45999145507813</v>
      </c>
      <c r="F607">
        <v>407.45999145507813</v>
      </c>
      <c r="G607">
        <v>5392300</v>
      </c>
      <c r="I607" s="5">
        <f t="shared" si="24"/>
        <v>2.7090158654227293E-2</v>
      </c>
      <c r="K607" s="5">
        <f t="shared" si="25"/>
        <v>605</v>
      </c>
      <c r="L607" s="5">
        <v>-2.3582092329066081E-4</v>
      </c>
    </row>
    <row r="608" spans="1:12" x14ac:dyDescent="0.25">
      <c r="A608" s="1">
        <v>44608</v>
      </c>
      <c r="B608">
        <v>401.52999877929688</v>
      </c>
      <c r="C608">
        <v>401.55999755859375</v>
      </c>
      <c r="D608">
        <v>390.3800048828125</v>
      </c>
      <c r="E608">
        <v>398.07998657226563</v>
      </c>
      <c r="F608">
        <v>398.07998657226563</v>
      </c>
      <c r="G608">
        <v>5277700</v>
      </c>
      <c r="I608" s="5">
        <f t="shared" si="24"/>
        <v>-2.3289791003049468E-2</v>
      </c>
      <c r="K608" s="5">
        <f t="shared" si="25"/>
        <v>606</v>
      </c>
      <c r="L608" s="5">
        <v>-2.2808979077766764E-4</v>
      </c>
    </row>
    <row r="609" spans="1:12" x14ac:dyDescent="0.25">
      <c r="A609" s="1">
        <v>44609</v>
      </c>
      <c r="B609">
        <v>394.239990234375</v>
      </c>
      <c r="C609">
        <v>399.1099853515625</v>
      </c>
      <c r="D609">
        <v>385.70001220703125</v>
      </c>
      <c r="E609">
        <v>386.67001342773438</v>
      </c>
      <c r="F609">
        <v>386.67001342773438</v>
      </c>
      <c r="G609">
        <v>4669200</v>
      </c>
      <c r="I609" s="5">
        <f t="shared" si="24"/>
        <v>-2.9081305568116327E-2</v>
      </c>
      <c r="K609" s="5">
        <f t="shared" si="25"/>
        <v>607</v>
      </c>
      <c r="L609" s="5">
        <v>-1.9806193210282112E-4</v>
      </c>
    </row>
    <row r="610" spans="1:12" x14ac:dyDescent="0.25">
      <c r="A610" s="1">
        <v>44610</v>
      </c>
      <c r="B610">
        <v>392.52999877929688</v>
      </c>
      <c r="C610">
        <v>402.8699951171875</v>
      </c>
      <c r="D610">
        <v>389.04998779296875</v>
      </c>
      <c r="E610">
        <v>391.29000854492188</v>
      </c>
      <c r="F610">
        <v>391.29000854492188</v>
      </c>
      <c r="G610">
        <v>6801700</v>
      </c>
      <c r="I610" s="5">
        <f t="shared" si="24"/>
        <v>1.1877344076727279E-2</v>
      </c>
      <c r="K610" s="5">
        <f t="shared" si="25"/>
        <v>608</v>
      </c>
      <c r="L610" s="5">
        <v>-1.6275776473931465E-4</v>
      </c>
    </row>
    <row r="611" spans="1:12" x14ac:dyDescent="0.25">
      <c r="A611" s="1">
        <v>44614</v>
      </c>
      <c r="B611">
        <v>388.95001220703125</v>
      </c>
      <c r="C611">
        <v>392.42001342773438</v>
      </c>
      <c r="D611">
        <v>373.01998901367188</v>
      </c>
      <c r="E611">
        <v>377.3800048828125</v>
      </c>
      <c r="F611">
        <v>377.3800048828125</v>
      </c>
      <c r="G611">
        <v>6697500</v>
      </c>
      <c r="I611" s="5">
        <f t="shared" si="24"/>
        <v>-3.6196344589841022E-2</v>
      </c>
      <c r="K611" s="5">
        <f t="shared" si="25"/>
        <v>609</v>
      </c>
      <c r="L611" s="5">
        <v>-1.6168702836726154E-4</v>
      </c>
    </row>
    <row r="612" spans="1:12" x14ac:dyDescent="0.25">
      <c r="A612" s="1">
        <v>44615</v>
      </c>
      <c r="B612">
        <v>382.72000122070313</v>
      </c>
      <c r="C612">
        <v>386</v>
      </c>
      <c r="D612">
        <v>366.66000366210938</v>
      </c>
      <c r="E612">
        <v>367.45999145507813</v>
      </c>
      <c r="F612">
        <v>367.45999145507813</v>
      </c>
      <c r="G612">
        <v>4614300</v>
      </c>
      <c r="I612" s="5">
        <f t="shared" si="24"/>
        <v>-2.6638204360714169E-2</v>
      </c>
      <c r="K612" s="5">
        <f t="shared" si="25"/>
        <v>610</v>
      </c>
      <c r="L612" s="5">
        <v>-1.4223493390836731E-4</v>
      </c>
    </row>
    <row r="613" spans="1:12" x14ac:dyDescent="0.25">
      <c r="A613" s="1">
        <v>44616</v>
      </c>
      <c r="B613">
        <v>355.08999633789063</v>
      </c>
      <c r="C613">
        <v>390.73001098632813</v>
      </c>
      <c r="D613">
        <v>354.72000122070313</v>
      </c>
      <c r="E613">
        <v>390.02999877929688</v>
      </c>
      <c r="F613">
        <v>390.02999877929688</v>
      </c>
      <c r="G613">
        <v>7068700</v>
      </c>
      <c r="I613" s="5">
        <f t="shared" si="24"/>
        <v>5.9609210174850519E-2</v>
      </c>
      <c r="K613" s="5">
        <f t="shared" si="25"/>
        <v>611</v>
      </c>
      <c r="L613" s="5">
        <v>-1.3190140027226607E-4</v>
      </c>
    </row>
    <row r="614" spans="1:12" x14ac:dyDescent="0.25">
      <c r="A614" s="1">
        <v>44617</v>
      </c>
      <c r="B614">
        <v>386.6099853515625</v>
      </c>
      <c r="C614">
        <v>391.29000854492188</v>
      </c>
      <c r="D614">
        <v>375.57998657226563</v>
      </c>
      <c r="E614">
        <v>390.79998779296875</v>
      </c>
      <c r="F614">
        <v>390.79998779296875</v>
      </c>
      <c r="G614">
        <v>4841600</v>
      </c>
      <c r="I614" s="5">
        <f t="shared" si="24"/>
        <v>1.9722328202011279E-3</v>
      </c>
      <c r="K614" s="5">
        <f t="shared" si="25"/>
        <v>612</v>
      </c>
      <c r="L614" s="5">
        <v>-8.1941067042879935E-5</v>
      </c>
    </row>
    <row r="615" spans="1:12" x14ac:dyDescent="0.25">
      <c r="A615" s="1">
        <v>44620</v>
      </c>
      <c r="B615">
        <v>387.32998657226563</v>
      </c>
      <c r="C615">
        <v>397.75</v>
      </c>
      <c r="D615">
        <v>382.1300048828125</v>
      </c>
      <c r="E615">
        <v>394.51998901367188</v>
      </c>
      <c r="F615">
        <v>394.51998901367188</v>
      </c>
      <c r="G615">
        <v>5035000</v>
      </c>
      <c r="I615" s="5">
        <f t="shared" si="24"/>
        <v>9.4739193058427946E-3</v>
      </c>
      <c r="K615" s="5">
        <f t="shared" si="25"/>
        <v>613</v>
      </c>
      <c r="L615" s="5">
        <v>0</v>
      </c>
    </row>
    <row r="616" spans="1:12" x14ac:dyDescent="0.25">
      <c r="A616" s="1">
        <v>44621</v>
      </c>
      <c r="B616">
        <v>391.60000610351563</v>
      </c>
      <c r="C616">
        <v>395</v>
      </c>
      <c r="D616">
        <v>383.70999145507813</v>
      </c>
      <c r="E616">
        <v>386.239990234375</v>
      </c>
      <c r="F616">
        <v>386.239990234375</v>
      </c>
      <c r="G616">
        <v>3290400</v>
      </c>
      <c r="I616" s="5">
        <f t="shared" si="24"/>
        <v>-2.1210895613123452E-2</v>
      </c>
      <c r="K616" s="5">
        <f t="shared" si="25"/>
        <v>614</v>
      </c>
      <c r="L616" s="5">
        <v>9.9141658231030057E-5</v>
      </c>
    </row>
    <row r="617" spans="1:12" x14ac:dyDescent="0.25">
      <c r="A617" s="1">
        <v>44622</v>
      </c>
      <c r="B617">
        <v>388.92999267578125</v>
      </c>
      <c r="C617">
        <v>389.22000122070313</v>
      </c>
      <c r="D617">
        <v>375.20999145507813</v>
      </c>
      <c r="E617">
        <v>380.02999877929688</v>
      </c>
      <c r="F617">
        <v>380.02999877929688</v>
      </c>
      <c r="G617">
        <v>5356800</v>
      </c>
      <c r="I617" s="5">
        <f t="shared" si="24"/>
        <v>-1.6208718864790226E-2</v>
      </c>
      <c r="K617" s="5">
        <f t="shared" si="25"/>
        <v>615</v>
      </c>
      <c r="L617" s="5">
        <v>1.4448932094635178E-4</v>
      </c>
    </row>
    <row r="618" spans="1:12" x14ac:dyDescent="0.25">
      <c r="A618" s="1">
        <v>44623</v>
      </c>
      <c r="B618">
        <v>386</v>
      </c>
      <c r="C618">
        <v>386.1199951171875</v>
      </c>
      <c r="D618">
        <v>364.64999389648438</v>
      </c>
      <c r="E618">
        <v>368.07000732421875</v>
      </c>
      <c r="F618">
        <v>368.07000732421875</v>
      </c>
      <c r="G618">
        <v>6076800</v>
      </c>
      <c r="I618" s="5">
        <f t="shared" si="24"/>
        <v>-3.197703639036583E-2</v>
      </c>
      <c r="K618" s="5">
        <f t="shared" si="25"/>
        <v>616</v>
      </c>
      <c r="L618" s="5">
        <v>2.0101704878337686E-4</v>
      </c>
    </row>
    <row r="619" spans="1:12" x14ac:dyDescent="0.25">
      <c r="A619" s="1">
        <v>44624</v>
      </c>
      <c r="B619">
        <v>368</v>
      </c>
      <c r="C619">
        <v>374.82000732421875</v>
      </c>
      <c r="D619">
        <v>357.17001342773438</v>
      </c>
      <c r="E619">
        <v>361.73001098632813</v>
      </c>
      <c r="F619">
        <v>361.73001098632813</v>
      </c>
      <c r="G619">
        <v>5325500</v>
      </c>
      <c r="I619" s="5">
        <f t="shared" si="24"/>
        <v>-1.737504981561375E-2</v>
      </c>
      <c r="K619" s="5">
        <f t="shared" si="25"/>
        <v>617</v>
      </c>
      <c r="L619" s="5">
        <v>2.3738135570964126E-4</v>
      </c>
    </row>
    <row r="620" spans="1:12" x14ac:dyDescent="0.25">
      <c r="A620" s="1">
        <v>44627</v>
      </c>
      <c r="B620">
        <v>360.41000366210938</v>
      </c>
      <c r="C620">
        <v>362</v>
      </c>
      <c r="D620">
        <v>350.20001220703125</v>
      </c>
      <c r="E620">
        <v>350.260009765625</v>
      </c>
      <c r="F620">
        <v>350.260009765625</v>
      </c>
      <c r="G620">
        <v>5708400</v>
      </c>
      <c r="I620" s="5">
        <f t="shared" si="24"/>
        <v>-3.2222343828978463E-2</v>
      </c>
      <c r="K620" s="5">
        <f t="shared" si="25"/>
        <v>618</v>
      </c>
      <c r="L620" s="5">
        <v>3.0018340542786162E-4</v>
      </c>
    </row>
    <row r="621" spans="1:12" x14ac:dyDescent="0.25">
      <c r="A621" s="1">
        <v>44628</v>
      </c>
      <c r="B621">
        <v>349.79998779296875</v>
      </c>
      <c r="C621">
        <v>358.8599853515625</v>
      </c>
      <c r="D621">
        <v>340.67001342773438</v>
      </c>
      <c r="E621">
        <v>341.760009765625</v>
      </c>
      <c r="F621">
        <v>341.760009765625</v>
      </c>
      <c r="G621">
        <v>6428700</v>
      </c>
      <c r="I621" s="5">
        <f t="shared" si="24"/>
        <v>-2.4566998819305724E-2</v>
      </c>
      <c r="K621" s="5">
        <f t="shared" si="25"/>
        <v>619</v>
      </c>
      <c r="L621" s="5">
        <v>3.2054585142363059E-4</v>
      </c>
    </row>
    <row r="622" spans="1:12" x14ac:dyDescent="0.25">
      <c r="A622" s="1">
        <v>44629</v>
      </c>
      <c r="B622">
        <v>357.69000244140625</v>
      </c>
      <c r="C622">
        <v>364.1400146484375</v>
      </c>
      <c r="D622">
        <v>350.510009765625</v>
      </c>
      <c r="E622">
        <v>358.79000854492188</v>
      </c>
      <c r="F622">
        <v>358.79000854492188</v>
      </c>
      <c r="G622">
        <v>6520200</v>
      </c>
      <c r="I622" s="5">
        <f t="shared" si="24"/>
        <v>4.8628518025857354E-2</v>
      </c>
      <c r="K622" s="5">
        <f t="shared" si="25"/>
        <v>620</v>
      </c>
      <c r="L622" s="5">
        <v>3.3709403007117864E-4</v>
      </c>
    </row>
    <row r="623" spans="1:12" x14ac:dyDescent="0.25">
      <c r="A623" s="1">
        <v>44630</v>
      </c>
      <c r="B623">
        <v>356.20001220703125</v>
      </c>
      <c r="C623">
        <v>367.01998901367188</v>
      </c>
      <c r="D623">
        <v>353.29998779296875</v>
      </c>
      <c r="E623">
        <v>356.76998901367188</v>
      </c>
      <c r="F623">
        <v>356.76998901367188</v>
      </c>
      <c r="G623">
        <v>4807800</v>
      </c>
      <c r="I623" s="5">
        <f t="shared" si="24"/>
        <v>-5.6459972726278498E-3</v>
      </c>
      <c r="K623" s="5">
        <f t="shared" si="25"/>
        <v>621</v>
      </c>
      <c r="L623" s="5">
        <v>3.9804657249256756E-4</v>
      </c>
    </row>
    <row r="624" spans="1:12" x14ac:dyDescent="0.25">
      <c r="A624" s="1">
        <v>44631</v>
      </c>
      <c r="B624">
        <v>361.19000244140625</v>
      </c>
      <c r="C624">
        <v>363.3599853515625</v>
      </c>
      <c r="D624">
        <v>340</v>
      </c>
      <c r="E624">
        <v>340.32000732421875</v>
      </c>
      <c r="F624">
        <v>340.32000732421875</v>
      </c>
      <c r="G624">
        <v>4819900</v>
      </c>
      <c r="I624" s="5">
        <f t="shared" si="24"/>
        <v>-4.7204912686024725E-2</v>
      </c>
      <c r="K624" s="5">
        <f t="shared" si="25"/>
        <v>622</v>
      </c>
      <c r="L624" s="5">
        <v>4.2193024232010549E-4</v>
      </c>
    </row>
    <row r="625" spans="1:12" x14ac:dyDescent="0.25">
      <c r="A625" s="1">
        <v>44634</v>
      </c>
      <c r="B625">
        <v>338.72000122070313</v>
      </c>
      <c r="C625">
        <v>341.32000732421875</v>
      </c>
      <c r="D625">
        <v>329.82000732421875</v>
      </c>
      <c r="E625">
        <v>331.010009765625</v>
      </c>
      <c r="F625">
        <v>331.010009765625</v>
      </c>
      <c r="G625">
        <v>5907800</v>
      </c>
      <c r="I625" s="5">
        <f t="shared" si="24"/>
        <v>-2.7737757069916168E-2</v>
      </c>
      <c r="K625" s="5">
        <f t="shared" si="25"/>
        <v>623</v>
      </c>
      <c r="L625" s="5">
        <v>4.4759267719765594E-4</v>
      </c>
    </row>
    <row r="626" spans="1:12" x14ac:dyDescent="0.25">
      <c r="A626" s="1">
        <v>44635</v>
      </c>
      <c r="B626">
        <v>335.10000610351563</v>
      </c>
      <c r="C626">
        <v>345.3599853515625</v>
      </c>
      <c r="D626">
        <v>332.3599853515625</v>
      </c>
      <c r="E626">
        <v>343.75</v>
      </c>
      <c r="F626">
        <v>343.75</v>
      </c>
      <c r="G626">
        <v>5460600</v>
      </c>
      <c r="I626" s="5">
        <f t="shared" si="24"/>
        <v>3.7766033077206183E-2</v>
      </c>
      <c r="K626" s="5">
        <f t="shared" si="25"/>
        <v>624</v>
      </c>
      <c r="L626" s="5">
        <v>6.1450684158693785E-4</v>
      </c>
    </row>
    <row r="627" spans="1:12" x14ac:dyDescent="0.25">
      <c r="A627" s="1">
        <v>44636</v>
      </c>
      <c r="B627">
        <v>348.20001220703125</v>
      </c>
      <c r="C627">
        <v>359.989990234375</v>
      </c>
      <c r="D627">
        <v>343.05999755859375</v>
      </c>
      <c r="E627">
        <v>357.52999877929688</v>
      </c>
      <c r="F627">
        <v>357.52999877929688</v>
      </c>
      <c r="G627">
        <v>6982500</v>
      </c>
      <c r="I627" s="5">
        <f t="shared" si="24"/>
        <v>3.9304622302171979E-2</v>
      </c>
      <c r="K627" s="5">
        <f t="shared" si="25"/>
        <v>625</v>
      </c>
      <c r="L627" s="5">
        <v>6.8565231722526019E-4</v>
      </c>
    </row>
    <row r="628" spans="1:12" x14ac:dyDescent="0.25">
      <c r="A628" s="1">
        <v>44637</v>
      </c>
      <c r="B628">
        <v>359.70001220703125</v>
      </c>
      <c r="C628">
        <v>373.30999755859375</v>
      </c>
      <c r="D628">
        <v>354.8800048828125</v>
      </c>
      <c r="E628">
        <v>371.39999389648438</v>
      </c>
      <c r="F628">
        <v>371.39999389648438</v>
      </c>
      <c r="G628">
        <v>5818300</v>
      </c>
      <c r="I628" s="5">
        <f t="shared" si="24"/>
        <v>3.8060361201845895E-2</v>
      </c>
      <c r="K628" s="5">
        <f t="shared" si="25"/>
        <v>626</v>
      </c>
      <c r="L628" s="5">
        <v>7.5132137324468592E-4</v>
      </c>
    </row>
    <row r="629" spans="1:12" x14ac:dyDescent="0.25">
      <c r="A629" s="1">
        <v>44638</v>
      </c>
      <c r="B629">
        <v>372</v>
      </c>
      <c r="C629">
        <v>381.79998779296875</v>
      </c>
      <c r="D629">
        <v>368.47000122070313</v>
      </c>
      <c r="E629">
        <v>380.60000610351563</v>
      </c>
      <c r="F629">
        <v>380.60000610351563</v>
      </c>
      <c r="G629">
        <v>8324800</v>
      </c>
      <c r="I629" s="5">
        <f t="shared" si="24"/>
        <v>2.4469338413812176E-2</v>
      </c>
      <c r="K629" s="5">
        <f t="shared" si="25"/>
        <v>627</v>
      </c>
      <c r="L629" s="5">
        <v>7.5965540142779371E-4</v>
      </c>
    </row>
    <row r="630" spans="1:12" x14ac:dyDescent="0.25">
      <c r="A630" s="1">
        <v>44641</v>
      </c>
      <c r="B630">
        <v>378.01998901367188</v>
      </c>
      <c r="C630">
        <v>381.82000732421875</v>
      </c>
      <c r="D630">
        <v>368.94000244140625</v>
      </c>
      <c r="E630">
        <v>374.58999633789063</v>
      </c>
      <c r="F630">
        <v>374.58999633789063</v>
      </c>
      <c r="G630">
        <v>4866500</v>
      </c>
      <c r="I630" s="5">
        <f t="shared" si="24"/>
        <v>-1.5916886162742925E-2</v>
      </c>
      <c r="K630" s="5">
        <f t="shared" si="25"/>
        <v>628</v>
      </c>
      <c r="L630" s="5">
        <v>7.8204078898860894E-4</v>
      </c>
    </row>
    <row r="631" spans="1:12" x14ac:dyDescent="0.25">
      <c r="A631" s="1">
        <v>44642</v>
      </c>
      <c r="B631">
        <v>371.1400146484375</v>
      </c>
      <c r="C631">
        <v>386.66000366210938</v>
      </c>
      <c r="D631">
        <v>366.760009765625</v>
      </c>
      <c r="E631">
        <v>382.92001342773438</v>
      </c>
      <c r="F631">
        <v>382.92001342773438</v>
      </c>
      <c r="G631">
        <v>4242800</v>
      </c>
      <c r="I631" s="5">
        <f t="shared" si="24"/>
        <v>2.1994040408966669E-2</v>
      </c>
      <c r="K631" s="5">
        <f t="shared" si="25"/>
        <v>629</v>
      </c>
      <c r="L631" s="5">
        <v>8.0388875112769899E-4</v>
      </c>
    </row>
    <row r="632" spans="1:12" x14ac:dyDescent="0.25">
      <c r="A632" s="1">
        <v>44643</v>
      </c>
      <c r="B632">
        <v>379.76998901367188</v>
      </c>
      <c r="C632">
        <v>382.45999145507813</v>
      </c>
      <c r="D632">
        <v>374.489990234375</v>
      </c>
      <c r="E632">
        <v>374.489990234375</v>
      </c>
      <c r="F632">
        <v>374.489990234375</v>
      </c>
      <c r="G632">
        <v>3729000</v>
      </c>
      <c r="I632" s="5">
        <f t="shared" si="24"/>
        <v>-2.2261050890897742E-2</v>
      </c>
      <c r="K632" s="5">
        <f t="shared" si="25"/>
        <v>630</v>
      </c>
      <c r="L632" s="5">
        <v>8.2434518028664595E-4</v>
      </c>
    </row>
    <row r="633" spans="1:12" x14ac:dyDescent="0.25">
      <c r="A633" s="1">
        <v>44644</v>
      </c>
      <c r="B633">
        <v>379.760009765625</v>
      </c>
      <c r="C633">
        <v>379.760009765625</v>
      </c>
      <c r="D633">
        <v>368.89999389648438</v>
      </c>
      <c r="E633">
        <v>375.70999145507813</v>
      </c>
      <c r="F633">
        <v>375.70999145507813</v>
      </c>
      <c r="G633">
        <v>3888500</v>
      </c>
      <c r="I633" s="5">
        <f t="shared" si="24"/>
        <v>3.2524722099968174E-3</v>
      </c>
      <c r="K633" s="5">
        <f t="shared" si="25"/>
        <v>631</v>
      </c>
      <c r="L633" s="5">
        <v>8.4754501815702374E-4</v>
      </c>
    </row>
    <row r="634" spans="1:12" x14ac:dyDescent="0.25">
      <c r="A634" s="1">
        <v>44645</v>
      </c>
      <c r="B634">
        <v>377.07000732421875</v>
      </c>
      <c r="C634">
        <v>377.6400146484375</v>
      </c>
      <c r="D634">
        <v>366.42999267578125</v>
      </c>
      <c r="E634">
        <v>373.85000610351563</v>
      </c>
      <c r="F634">
        <v>373.85000610351563</v>
      </c>
      <c r="G634">
        <v>3574500</v>
      </c>
      <c r="I634" s="5">
        <f t="shared" si="24"/>
        <v>-4.9628826919014034E-3</v>
      </c>
      <c r="K634" s="5">
        <f t="shared" si="25"/>
        <v>632</v>
      </c>
      <c r="L634" s="5">
        <v>8.8130801877895628E-4</v>
      </c>
    </row>
    <row r="635" spans="1:12" x14ac:dyDescent="0.25">
      <c r="A635" s="1">
        <v>44648</v>
      </c>
      <c r="B635">
        <v>375.23001098632813</v>
      </c>
      <c r="C635">
        <v>380.27999877929688</v>
      </c>
      <c r="D635">
        <v>366.73001098632813</v>
      </c>
      <c r="E635">
        <v>378.510009765625</v>
      </c>
      <c r="F635">
        <v>378.510009765625</v>
      </c>
      <c r="G635">
        <v>4323400</v>
      </c>
      <c r="I635" s="5">
        <f t="shared" si="24"/>
        <v>1.2387854635903358E-2</v>
      </c>
      <c r="K635" s="5">
        <f t="shared" si="25"/>
        <v>633</v>
      </c>
      <c r="L635" s="5">
        <v>9.0455009028967629E-4</v>
      </c>
    </row>
    <row r="636" spans="1:12" x14ac:dyDescent="0.25">
      <c r="A636" s="1">
        <v>44649</v>
      </c>
      <c r="B636">
        <v>384.3900146484375</v>
      </c>
      <c r="C636">
        <v>396.5</v>
      </c>
      <c r="D636">
        <v>380.32998657226563</v>
      </c>
      <c r="E636">
        <v>391.82000732421875</v>
      </c>
      <c r="F636">
        <v>391.82000732421875</v>
      </c>
      <c r="G636">
        <v>5880700</v>
      </c>
      <c r="I636" s="5">
        <f t="shared" si="24"/>
        <v>3.4560050944764699E-2</v>
      </c>
      <c r="K636" s="5">
        <f t="shared" si="25"/>
        <v>634</v>
      </c>
      <c r="L636" s="5">
        <v>9.3685632181677594E-4</v>
      </c>
    </row>
    <row r="637" spans="1:12" x14ac:dyDescent="0.25">
      <c r="A637" s="1">
        <v>44650</v>
      </c>
      <c r="B637">
        <v>389.54998779296875</v>
      </c>
      <c r="C637">
        <v>392.70001220703125</v>
      </c>
      <c r="D637">
        <v>378.6300048828125</v>
      </c>
      <c r="E637">
        <v>381.47000122070313</v>
      </c>
      <c r="F637">
        <v>381.47000122070313</v>
      </c>
      <c r="G637">
        <v>4023300</v>
      </c>
      <c r="I637" s="5">
        <f t="shared" si="24"/>
        <v>-2.6770355479610253E-2</v>
      </c>
      <c r="K637" s="5">
        <f t="shared" si="25"/>
        <v>635</v>
      </c>
      <c r="L637" s="5">
        <v>9.9023229848691006E-4</v>
      </c>
    </row>
    <row r="638" spans="1:12" x14ac:dyDescent="0.25">
      <c r="A638" s="1">
        <v>44651</v>
      </c>
      <c r="B638">
        <v>383.58999633789063</v>
      </c>
      <c r="C638">
        <v>384</v>
      </c>
      <c r="D638">
        <v>373.6099853515625</v>
      </c>
      <c r="E638">
        <v>374.58999633789063</v>
      </c>
      <c r="F638">
        <v>374.58999633789063</v>
      </c>
      <c r="G638">
        <v>4134700</v>
      </c>
      <c r="I638" s="5">
        <f t="shared" si="24"/>
        <v>-1.8200129137222215E-2</v>
      </c>
      <c r="K638" s="5">
        <f t="shared" si="25"/>
        <v>636</v>
      </c>
      <c r="L638" s="5">
        <v>1.0111668606907947E-3</v>
      </c>
    </row>
    <row r="639" spans="1:12" x14ac:dyDescent="0.25">
      <c r="A639" s="1">
        <v>44652</v>
      </c>
      <c r="B639">
        <v>376.79998779296875</v>
      </c>
      <c r="C639">
        <v>380.8699951171875</v>
      </c>
      <c r="D639">
        <v>368.5</v>
      </c>
      <c r="E639">
        <v>373.47000122070313</v>
      </c>
      <c r="F639">
        <v>373.47000122070313</v>
      </c>
      <c r="G639">
        <v>4644200</v>
      </c>
      <c r="I639" s="5">
        <f t="shared" si="24"/>
        <v>-2.9944014055201845E-3</v>
      </c>
      <c r="K639" s="5">
        <f t="shared" si="25"/>
        <v>637</v>
      </c>
      <c r="L639" s="5">
        <v>1.0324470750859335E-3</v>
      </c>
    </row>
    <row r="640" spans="1:12" x14ac:dyDescent="0.25">
      <c r="A640" s="1">
        <v>44655</v>
      </c>
      <c r="B640">
        <v>373.54998779296875</v>
      </c>
      <c r="C640">
        <v>396.01998901367188</v>
      </c>
      <c r="D640">
        <v>373.1300048828125</v>
      </c>
      <c r="E640">
        <v>391.5</v>
      </c>
      <c r="F640">
        <v>391.5</v>
      </c>
      <c r="G640">
        <v>7001800</v>
      </c>
      <c r="I640" s="5">
        <f t="shared" si="24"/>
        <v>4.7147832100509553E-2</v>
      </c>
      <c r="K640" s="5">
        <f t="shared" si="25"/>
        <v>638</v>
      </c>
      <c r="L640" s="5">
        <v>1.0362788400615764E-3</v>
      </c>
    </row>
    <row r="641" spans="1:12" x14ac:dyDescent="0.25">
      <c r="A641" s="1">
        <v>44656</v>
      </c>
      <c r="B641">
        <v>389.29998779296875</v>
      </c>
      <c r="C641">
        <v>390</v>
      </c>
      <c r="D641">
        <v>377.30999755859375</v>
      </c>
      <c r="E641">
        <v>380.14999389648438</v>
      </c>
      <c r="F641">
        <v>380.14999389648438</v>
      </c>
      <c r="G641">
        <v>4234500</v>
      </c>
      <c r="I641" s="5">
        <f t="shared" si="24"/>
        <v>-2.9419619811957745E-2</v>
      </c>
      <c r="K641" s="5">
        <f t="shared" si="25"/>
        <v>639</v>
      </c>
      <c r="L641" s="5">
        <v>1.079569501129789E-3</v>
      </c>
    </row>
    <row r="642" spans="1:12" x14ac:dyDescent="0.25">
      <c r="A642" s="1">
        <v>44657</v>
      </c>
      <c r="B642">
        <v>374.14999389648438</v>
      </c>
      <c r="C642">
        <v>376.47000122070313</v>
      </c>
      <c r="D642">
        <v>362.73001098632813</v>
      </c>
      <c r="E642">
        <v>368.35000610351563</v>
      </c>
      <c r="F642">
        <v>368.35000610351563</v>
      </c>
      <c r="G642">
        <v>4354900</v>
      </c>
      <c r="I642" s="5">
        <f t="shared" si="24"/>
        <v>-3.1532305920196624E-2</v>
      </c>
      <c r="K642" s="5">
        <f t="shared" si="25"/>
        <v>640</v>
      </c>
      <c r="L642" s="5">
        <v>1.1213553976526902E-3</v>
      </c>
    </row>
    <row r="643" spans="1:12" x14ac:dyDescent="0.25">
      <c r="A643" s="1">
        <v>44658</v>
      </c>
      <c r="B643">
        <v>365</v>
      </c>
      <c r="C643">
        <v>368.54000854492188</v>
      </c>
      <c r="D643">
        <v>353.69000244140625</v>
      </c>
      <c r="E643">
        <v>362.14999389648438</v>
      </c>
      <c r="F643">
        <v>362.14999389648438</v>
      </c>
      <c r="G643">
        <v>4948900</v>
      </c>
      <c r="I643" s="5">
        <f t="shared" si="24"/>
        <v>-1.6975115910925365E-2</v>
      </c>
      <c r="K643" s="5">
        <f t="shared" si="25"/>
        <v>641</v>
      </c>
      <c r="L643" s="5">
        <v>1.2013629212952815E-3</v>
      </c>
    </row>
    <row r="644" spans="1:12" x14ac:dyDescent="0.25">
      <c r="A644" s="1">
        <v>44659</v>
      </c>
      <c r="B644">
        <v>361.95999145507813</v>
      </c>
      <c r="C644">
        <v>362.5</v>
      </c>
      <c r="D644">
        <v>354.8699951171875</v>
      </c>
      <c r="E644">
        <v>355.8800048828125</v>
      </c>
      <c r="F644">
        <v>355.8800048828125</v>
      </c>
      <c r="G644">
        <v>4025200</v>
      </c>
      <c r="I644" s="5">
        <f t="shared" ref="I644:I707" si="26">LN(F644/F643)</f>
        <v>-1.7464864690821171E-2</v>
      </c>
      <c r="K644" s="5">
        <f t="shared" ref="K644:K707" si="27">_xlfn.RANK.AVG(L644,_xlfn.ANCHORARRAY($L$3),1)</f>
        <v>642</v>
      </c>
      <c r="L644" s="5">
        <v>1.2207901917165487E-3</v>
      </c>
    </row>
    <row r="645" spans="1:12" x14ac:dyDescent="0.25">
      <c r="A645" s="1">
        <v>44662</v>
      </c>
      <c r="B645">
        <v>350</v>
      </c>
      <c r="C645">
        <v>354.77999877929688</v>
      </c>
      <c r="D645">
        <v>345.20001220703125</v>
      </c>
      <c r="E645">
        <v>348</v>
      </c>
      <c r="F645">
        <v>348</v>
      </c>
      <c r="G645">
        <v>3777100</v>
      </c>
      <c r="I645" s="5">
        <f t="shared" si="26"/>
        <v>-2.2391129322482467E-2</v>
      </c>
      <c r="K645" s="5">
        <f t="shared" si="27"/>
        <v>643</v>
      </c>
      <c r="L645" s="5">
        <v>1.2811250242723067E-3</v>
      </c>
    </row>
    <row r="646" spans="1:12" x14ac:dyDescent="0.25">
      <c r="A646" s="1">
        <v>44663</v>
      </c>
      <c r="B646">
        <v>355.91000366210938</v>
      </c>
      <c r="C646">
        <v>359.41000366210938</v>
      </c>
      <c r="D646">
        <v>342.25</v>
      </c>
      <c r="E646">
        <v>344.10000610351563</v>
      </c>
      <c r="F646">
        <v>344.10000610351563</v>
      </c>
      <c r="G646">
        <v>3824300</v>
      </c>
      <c r="I646" s="5">
        <f t="shared" si="26"/>
        <v>-1.1270149233418051E-2</v>
      </c>
      <c r="K646" s="5">
        <f t="shared" si="27"/>
        <v>644</v>
      </c>
      <c r="L646" s="5">
        <v>1.2933716362730193E-3</v>
      </c>
    </row>
    <row r="647" spans="1:12" x14ac:dyDescent="0.25">
      <c r="A647" s="1">
        <v>44664</v>
      </c>
      <c r="B647">
        <v>343.92001342773438</v>
      </c>
      <c r="C647">
        <v>352</v>
      </c>
      <c r="D647">
        <v>341.16000366210938</v>
      </c>
      <c r="E647">
        <v>350.42999267578125</v>
      </c>
      <c r="F647">
        <v>350.42999267578125</v>
      </c>
      <c r="G647">
        <v>3231000</v>
      </c>
      <c r="I647" s="5">
        <f t="shared" si="26"/>
        <v>1.8228620393996649E-2</v>
      </c>
      <c r="K647" s="5">
        <f t="shared" si="27"/>
        <v>645</v>
      </c>
      <c r="L647" s="5">
        <v>1.3154106521783269E-3</v>
      </c>
    </row>
    <row r="648" spans="1:12" x14ac:dyDescent="0.25">
      <c r="A648" s="1">
        <v>44665</v>
      </c>
      <c r="B648">
        <v>350.95001220703125</v>
      </c>
      <c r="C648">
        <v>352</v>
      </c>
      <c r="D648">
        <v>339.8599853515625</v>
      </c>
      <c r="E648">
        <v>341.1300048828125</v>
      </c>
      <c r="F648">
        <v>341.1300048828125</v>
      </c>
      <c r="G648">
        <v>4343800</v>
      </c>
      <c r="I648" s="5">
        <f t="shared" si="26"/>
        <v>-2.6897300316670439E-2</v>
      </c>
      <c r="K648" s="5">
        <f t="shared" si="27"/>
        <v>646</v>
      </c>
      <c r="L648" s="5">
        <v>1.3647151198838449E-3</v>
      </c>
    </row>
    <row r="649" spans="1:12" x14ac:dyDescent="0.25">
      <c r="A649" s="1">
        <v>44669</v>
      </c>
      <c r="B649">
        <v>340</v>
      </c>
      <c r="C649">
        <v>342.3599853515625</v>
      </c>
      <c r="D649">
        <v>331.6199951171875</v>
      </c>
      <c r="E649">
        <v>337.8599853515625</v>
      </c>
      <c r="F649">
        <v>337.8599853515625</v>
      </c>
      <c r="G649">
        <v>5105000</v>
      </c>
      <c r="I649" s="5">
        <f t="shared" si="26"/>
        <v>-9.6320854803320869E-3</v>
      </c>
      <c r="K649" s="5">
        <f t="shared" si="27"/>
        <v>647</v>
      </c>
      <c r="L649" s="5">
        <v>1.3911574218342482E-3</v>
      </c>
    </row>
    <row r="650" spans="1:12" x14ac:dyDescent="0.25">
      <c r="A650" s="1">
        <v>44670</v>
      </c>
      <c r="B650">
        <v>333.22000122070313</v>
      </c>
      <c r="C650">
        <v>351.67999267578125</v>
      </c>
      <c r="D650">
        <v>333.22000122070313</v>
      </c>
      <c r="E650">
        <v>348.6099853515625</v>
      </c>
      <c r="F650">
        <v>348.6099853515625</v>
      </c>
      <c r="G650">
        <v>20906900</v>
      </c>
      <c r="I650" s="5">
        <f t="shared" si="26"/>
        <v>3.1322211690137165E-2</v>
      </c>
      <c r="K650" s="5">
        <f t="shared" si="27"/>
        <v>648</v>
      </c>
      <c r="L650" s="5">
        <v>1.4122467291352832E-3</v>
      </c>
    </row>
    <row r="651" spans="1:12" x14ac:dyDescent="0.25">
      <c r="A651" s="1">
        <v>44671</v>
      </c>
      <c r="B651">
        <v>245.19999694824219</v>
      </c>
      <c r="C651">
        <v>248.69999694824219</v>
      </c>
      <c r="D651">
        <v>212.50999450683594</v>
      </c>
      <c r="E651">
        <v>226.19000244140625</v>
      </c>
      <c r="F651">
        <v>226.19000244140625</v>
      </c>
      <c r="G651">
        <v>133387500</v>
      </c>
      <c r="I651" s="5">
        <f t="shared" si="26"/>
        <v>-0.43257841199468944</v>
      </c>
      <c r="K651" s="5">
        <f t="shared" si="27"/>
        <v>649</v>
      </c>
      <c r="L651" s="5">
        <v>1.5866337051612417E-3</v>
      </c>
    </row>
    <row r="652" spans="1:12" x14ac:dyDescent="0.25">
      <c r="A652" s="1">
        <v>44672</v>
      </c>
      <c r="B652">
        <v>220</v>
      </c>
      <c r="C652">
        <v>227.67999267578125</v>
      </c>
      <c r="D652">
        <v>211.52000427246094</v>
      </c>
      <c r="E652">
        <v>218.22000122070313</v>
      </c>
      <c r="F652">
        <v>218.22000122070313</v>
      </c>
      <c r="G652">
        <v>53501600</v>
      </c>
      <c r="I652" s="5">
        <f t="shared" si="26"/>
        <v>-3.5871631012635082E-2</v>
      </c>
      <c r="K652" s="5">
        <f t="shared" si="27"/>
        <v>650</v>
      </c>
      <c r="L652" s="5">
        <v>1.613240003912039E-3</v>
      </c>
    </row>
    <row r="653" spans="1:12" x14ac:dyDescent="0.25">
      <c r="A653" s="1">
        <v>44673</v>
      </c>
      <c r="B653">
        <v>220.17999267578125</v>
      </c>
      <c r="C653">
        <v>226.27000427246094</v>
      </c>
      <c r="D653">
        <v>210.05000305175781</v>
      </c>
      <c r="E653">
        <v>215.52000427246094</v>
      </c>
      <c r="F653">
        <v>215.52000427246094</v>
      </c>
      <c r="G653">
        <v>37515100</v>
      </c>
      <c r="I653" s="5">
        <f t="shared" si="26"/>
        <v>-1.2450001334844358E-2</v>
      </c>
      <c r="K653" s="5">
        <f t="shared" si="27"/>
        <v>651</v>
      </c>
      <c r="L653" s="5">
        <v>1.7170227053992201E-3</v>
      </c>
    </row>
    <row r="654" spans="1:12" x14ac:dyDescent="0.25">
      <c r="A654" s="1">
        <v>44676</v>
      </c>
      <c r="B654">
        <v>213.80999755859375</v>
      </c>
      <c r="C654">
        <v>216.66000366210938</v>
      </c>
      <c r="D654">
        <v>204.50999450683594</v>
      </c>
      <c r="E654">
        <v>209.91000366210938</v>
      </c>
      <c r="F654">
        <v>209.91000366210938</v>
      </c>
      <c r="G654">
        <v>28152000</v>
      </c>
      <c r="I654" s="5">
        <f t="shared" si="26"/>
        <v>-2.6374847614010807E-2</v>
      </c>
      <c r="K654" s="5">
        <f t="shared" si="27"/>
        <v>652</v>
      </c>
      <c r="L654" s="5">
        <v>1.7869816890100883E-3</v>
      </c>
    </row>
    <row r="655" spans="1:12" x14ac:dyDescent="0.25">
      <c r="A655" s="1">
        <v>44677</v>
      </c>
      <c r="B655">
        <v>208.80000305175781</v>
      </c>
      <c r="C655">
        <v>209.14999389648438</v>
      </c>
      <c r="D655">
        <v>198.27999877929688</v>
      </c>
      <c r="E655">
        <v>198.39999389648438</v>
      </c>
      <c r="F655">
        <v>198.39999389648438</v>
      </c>
      <c r="G655">
        <v>20318100</v>
      </c>
      <c r="I655" s="5">
        <f t="shared" si="26"/>
        <v>-5.6393720784923523E-2</v>
      </c>
      <c r="K655" s="5">
        <f t="shared" si="27"/>
        <v>653</v>
      </c>
      <c r="L655" s="5">
        <v>1.8322581763049026E-3</v>
      </c>
    </row>
    <row r="656" spans="1:12" x14ac:dyDescent="0.25">
      <c r="A656" s="1">
        <v>44678</v>
      </c>
      <c r="B656">
        <v>194.00999450683594</v>
      </c>
      <c r="C656">
        <v>200.19000244140625</v>
      </c>
      <c r="D656">
        <v>187.77000427246094</v>
      </c>
      <c r="E656">
        <v>188.53999328613281</v>
      </c>
      <c r="F656">
        <v>188.53999328613281</v>
      </c>
      <c r="G656">
        <v>22298400</v>
      </c>
      <c r="I656" s="5">
        <f t="shared" si="26"/>
        <v>-5.0975013728856759E-2</v>
      </c>
      <c r="K656" s="5">
        <f t="shared" si="27"/>
        <v>654</v>
      </c>
      <c r="L656" s="5">
        <v>1.8862040465387842E-3</v>
      </c>
    </row>
    <row r="657" spans="1:12" x14ac:dyDescent="0.25">
      <c r="A657" s="1">
        <v>44679</v>
      </c>
      <c r="B657">
        <v>191.55999755859375</v>
      </c>
      <c r="C657">
        <v>201.47999572753906</v>
      </c>
      <c r="D657">
        <v>185.60000610351563</v>
      </c>
      <c r="E657">
        <v>199.52000427246094</v>
      </c>
      <c r="F657">
        <v>199.52000427246094</v>
      </c>
      <c r="G657">
        <v>21363200</v>
      </c>
      <c r="I657" s="5">
        <f t="shared" si="26"/>
        <v>5.6604352987196085E-2</v>
      </c>
      <c r="K657" s="5">
        <f t="shared" si="27"/>
        <v>655</v>
      </c>
      <c r="L657" s="5">
        <v>1.9096487894633681E-3</v>
      </c>
    </row>
    <row r="658" spans="1:12" x14ac:dyDescent="0.25">
      <c r="A658" s="1">
        <v>44680</v>
      </c>
      <c r="B658">
        <v>198.67999267578125</v>
      </c>
      <c r="C658">
        <v>204.71000671386719</v>
      </c>
      <c r="D658">
        <v>190</v>
      </c>
      <c r="E658">
        <v>190.36000061035156</v>
      </c>
      <c r="F658">
        <v>190.36000061035156</v>
      </c>
      <c r="G658">
        <v>16391900</v>
      </c>
      <c r="I658" s="5">
        <f t="shared" si="26"/>
        <v>-4.699748388621245E-2</v>
      </c>
      <c r="K658" s="5">
        <f t="shared" si="27"/>
        <v>656</v>
      </c>
      <c r="L658" s="5">
        <v>1.9168665012201168E-3</v>
      </c>
    </row>
    <row r="659" spans="1:12" x14ac:dyDescent="0.25">
      <c r="A659" s="1">
        <v>44683</v>
      </c>
      <c r="B659">
        <v>191.71000671386719</v>
      </c>
      <c r="C659">
        <v>200.21000671386719</v>
      </c>
      <c r="D659">
        <v>190.00999450683594</v>
      </c>
      <c r="E659">
        <v>199.46000671386719</v>
      </c>
      <c r="F659">
        <v>199.46000671386719</v>
      </c>
      <c r="G659">
        <v>14591600</v>
      </c>
      <c r="I659" s="5">
        <f t="shared" si="26"/>
        <v>4.6696729174728523E-2</v>
      </c>
      <c r="K659" s="5">
        <f t="shared" si="27"/>
        <v>657</v>
      </c>
      <c r="L659" s="5">
        <v>1.9413210409021165E-3</v>
      </c>
    </row>
    <row r="660" spans="1:12" x14ac:dyDescent="0.25">
      <c r="A660" s="1">
        <v>44684</v>
      </c>
      <c r="B660">
        <v>198.28999328613281</v>
      </c>
      <c r="C660">
        <v>203.19999694824219</v>
      </c>
      <c r="D660">
        <v>194.77000427246094</v>
      </c>
      <c r="E660">
        <v>199.8699951171875</v>
      </c>
      <c r="F660">
        <v>199.8699951171875</v>
      </c>
      <c r="G660">
        <v>11839400</v>
      </c>
      <c r="I660" s="5">
        <f t="shared" si="26"/>
        <v>2.0533821425682765E-3</v>
      </c>
      <c r="K660" s="5">
        <f t="shared" si="27"/>
        <v>658</v>
      </c>
      <c r="L660" s="5">
        <v>1.9423458756016062E-3</v>
      </c>
    </row>
    <row r="661" spans="1:12" x14ac:dyDescent="0.25">
      <c r="A661" s="1">
        <v>44685</v>
      </c>
      <c r="B661">
        <v>197.64999389648438</v>
      </c>
      <c r="C661">
        <v>204.3800048828125</v>
      </c>
      <c r="D661">
        <v>191.00999450683594</v>
      </c>
      <c r="E661">
        <v>204.00999450683594</v>
      </c>
      <c r="F661">
        <v>204.00999450683594</v>
      </c>
      <c r="G661">
        <v>12218800</v>
      </c>
      <c r="I661" s="5">
        <f t="shared" si="26"/>
        <v>2.0501854548174395E-2</v>
      </c>
      <c r="K661" s="5">
        <f t="shared" si="27"/>
        <v>659</v>
      </c>
      <c r="L661" s="5">
        <v>1.9722328202011279E-3</v>
      </c>
    </row>
    <row r="662" spans="1:12" x14ac:dyDescent="0.25">
      <c r="A662" s="1">
        <v>44686</v>
      </c>
      <c r="B662">
        <v>200.44999694824219</v>
      </c>
      <c r="C662">
        <v>200.71000671386719</v>
      </c>
      <c r="D662">
        <v>186</v>
      </c>
      <c r="E662">
        <v>188.32000732421875</v>
      </c>
      <c r="F662">
        <v>188.32000732421875</v>
      </c>
      <c r="G662">
        <v>13971300</v>
      </c>
      <c r="I662" s="5">
        <f t="shared" si="26"/>
        <v>-8.0026302920306172E-2</v>
      </c>
      <c r="K662" s="5">
        <f t="shared" si="27"/>
        <v>660</v>
      </c>
      <c r="L662" s="5">
        <v>1.9728037534652095E-3</v>
      </c>
    </row>
    <row r="663" spans="1:12" x14ac:dyDescent="0.25">
      <c r="A663" s="1">
        <v>44687</v>
      </c>
      <c r="B663">
        <v>186.75</v>
      </c>
      <c r="C663">
        <v>187.21000671386719</v>
      </c>
      <c r="D663">
        <v>175.80999755859375</v>
      </c>
      <c r="E663">
        <v>180.97000122070313</v>
      </c>
      <c r="F663">
        <v>180.97000122070313</v>
      </c>
      <c r="G663">
        <v>17185500</v>
      </c>
      <c r="I663" s="5">
        <f t="shared" si="26"/>
        <v>-3.9811403986932517E-2</v>
      </c>
      <c r="K663" s="5">
        <f t="shared" si="27"/>
        <v>661</v>
      </c>
      <c r="L663" s="5">
        <v>2.0324586697245406E-3</v>
      </c>
    </row>
    <row r="664" spans="1:12" x14ac:dyDescent="0.25">
      <c r="A664" s="1">
        <v>44690</v>
      </c>
      <c r="B664">
        <v>177.66000366210938</v>
      </c>
      <c r="C664">
        <v>183.19999694824219</v>
      </c>
      <c r="D664">
        <v>172.30000305175781</v>
      </c>
      <c r="E664">
        <v>173.10000610351563</v>
      </c>
      <c r="F664">
        <v>173.10000610351563</v>
      </c>
      <c r="G664">
        <v>14031300</v>
      </c>
      <c r="I664" s="5">
        <f t="shared" si="26"/>
        <v>-4.4461780975225323E-2</v>
      </c>
      <c r="K664" s="5">
        <f t="shared" si="27"/>
        <v>662</v>
      </c>
      <c r="L664" s="5">
        <v>2.0330083349120107E-3</v>
      </c>
    </row>
    <row r="665" spans="1:12" x14ac:dyDescent="0.25">
      <c r="A665" s="1">
        <v>44691</v>
      </c>
      <c r="B665">
        <v>176.00999450683594</v>
      </c>
      <c r="C665">
        <v>181.8699951171875</v>
      </c>
      <c r="D665">
        <v>170.57000732421875</v>
      </c>
      <c r="E665">
        <v>177.66000366210938</v>
      </c>
      <c r="F665">
        <v>177.66000366210938</v>
      </c>
      <c r="G665">
        <v>13883900</v>
      </c>
      <c r="I665" s="5">
        <f t="shared" si="26"/>
        <v>2.600213451235741E-2</v>
      </c>
      <c r="K665" s="5">
        <f t="shared" si="27"/>
        <v>663</v>
      </c>
      <c r="L665" s="5">
        <v>2.0533821425682765E-3</v>
      </c>
    </row>
    <row r="666" spans="1:12" x14ac:dyDescent="0.25">
      <c r="A666" s="1">
        <v>44692</v>
      </c>
      <c r="B666">
        <v>176.08999633789063</v>
      </c>
      <c r="C666">
        <v>180.91999816894531</v>
      </c>
      <c r="D666">
        <v>165.55000305175781</v>
      </c>
      <c r="E666">
        <v>166.3699951171875</v>
      </c>
      <c r="F666">
        <v>166.3699951171875</v>
      </c>
      <c r="G666">
        <v>12665500</v>
      </c>
      <c r="I666" s="5">
        <f t="shared" si="26"/>
        <v>-6.5657437632041446E-2</v>
      </c>
      <c r="K666" s="5">
        <f t="shared" si="27"/>
        <v>664</v>
      </c>
      <c r="L666" s="5">
        <v>2.0932600494914131E-3</v>
      </c>
    </row>
    <row r="667" spans="1:12" x14ac:dyDescent="0.25">
      <c r="A667" s="1">
        <v>44693</v>
      </c>
      <c r="B667">
        <v>163.96000671386719</v>
      </c>
      <c r="C667">
        <v>177.58000183105469</v>
      </c>
      <c r="D667">
        <v>162.71000671386719</v>
      </c>
      <c r="E667">
        <v>174.30999755859375</v>
      </c>
      <c r="F667">
        <v>174.30999755859375</v>
      </c>
      <c r="G667">
        <v>17662100</v>
      </c>
      <c r="I667" s="5">
        <f t="shared" si="26"/>
        <v>4.6621114898122491E-2</v>
      </c>
      <c r="K667" s="5">
        <f t="shared" si="27"/>
        <v>665</v>
      </c>
      <c r="L667" s="5">
        <v>2.1217316503928736E-3</v>
      </c>
    </row>
    <row r="668" spans="1:12" x14ac:dyDescent="0.25">
      <c r="A668" s="1">
        <v>44694</v>
      </c>
      <c r="B668">
        <v>177.16000366210938</v>
      </c>
      <c r="C668">
        <v>187.77000427246094</v>
      </c>
      <c r="D668">
        <v>176.00999450683594</v>
      </c>
      <c r="E668">
        <v>187.63999938964844</v>
      </c>
      <c r="F668">
        <v>187.63999938964844</v>
      </c>
      <c r="G668">
        <v>13136300</v>
      </c>
      <c r="I668" s="5">
        <f t="shared" si="26"/>
        <v>7.3689920986820645E-2</v>
      </c>
      <c r="K668" s="5">
        <f t="shared" si="27"/>
        <v>666</v>
      </c>
      <c r="L668" s="5">
        <v>2.1543945264839394E-3</v>
      </c>
    </row>
    <row r="669" spans="1:12" x14ac:dyDescent="0.25">
      <c r="A669" s="1">
        <v>44697</v>
      </c>
      <c r="B669">
        <v>193.30000305175781</v>
      </c>
      <c r="C669">
        <v>195.88999938964844</v>
      </c>
      <c r="D669">
        <v>185.69999694824219</v>
      </c>
      <c r="E669">
        <v>186.50999450683594</v>
      </c>
      <c r="F669">
        <v>186.50999450683594</v>
      </c>
      <c r="G669">
        <v>16145000</v>
      </c>
      <c r="I669" s="5">
        <f t="shared" si="26"/>
        <v>-6.0404027105058601E-3</v>
      </c>
      <c r="K669" s="5">
        <f t="shared" si="27"/>
        <v>667</v>
      </c>
      <c r="L669" s="5">
        <v>2.1606884841741452E-3</v>
      </c>
    </row>
    <row r="670" spans="1:12" x14ac:dyDescent="0.25">
      <c r="A670" s="1">
        <v>44698</v>
      </c>
      <c r="B670">
        <v>189.16999816894531</v>
      </c>
      <c r="C670">
        <v>191.39999389648438</v>
      </c>
      <c r="D670">
        <v>185.16999816894531</v>
      </c>
      <c r="E670">
        <v>190.55999755859375</v>
      </c>
      <c r="F670">
        <v>190.55999755859375</v>
      </c>
      <c r="G670">
        <v>9876700</v>
      </c>
      <c r="I670" s="5">
        <f t="shared" si="26"/>
        <v>2.1482265298272331E-2</v>
      </c>
      <c r="K670" s="5">
        <f t="shared" si="27"/>
        <v>668</v>
      </c>
      <c r="L670" s="5">
        <v>2.2361225497425563E-3</v>
      </c>
    </row>
    <row r="671" spans="1:12" x14ac:dyDescent="0.25">
      <c r="A671" s="1">
        <v>44699</v>
      </c>
      <c r="B671">
        <v>186.72000122070313</v>
      </c>
      <c r="C671">
        <v>187.69999694824219</v>
      </c>
      <c r="D671">
        <v>176.27000427246094</v>
      </c>
      <c r="E671">
        <v>177.19000244140625</v>
      </c>
      <c r="F671">
        <v>177.19000244140625</v>
      </c>
      <c r="G671">
        <v>9665600</v>
      </c>
      <c r="I671" s="5">
        <f t="shared" si="26"/>
        <v>-7.2744475846801118E-2</v>
      </c>
      <c r="K671" s="5">
        <f t="shared" si="27"/>
        <v>669</v>
      </c>
      <c r="L671" s="5">
        <v>2.3146230362790861E-3</v>
      </c>
    </row>
    <row r="672" spans="1:12" x14ac:dyDescent="0.25">
      <c r="A672" s="1">
        <v>44700</v>
      </c>
      <c r="B672">
        <v>178.05000305175781</v>
      </c>
      <c r="C672">
        <v>186.30000305175781</v>
      </c>
      <c r="D672">
        <v>175.71000671386719</v>
      </c>
      <c r="E672">
        <v>183.47999572753906</v>
      </c>
      <c r="F672">
        <v>183.47999572753906</v>
      </c>
      <c r="G672">
        <v>10448500</v>
      </c>
      <c r="I672" s="5">
        <f t="shared" si="26"/>
        <v>3.4883029494823976E-2</v>
      </c>
      <c r="K672" s="5">
        <f t="shared" si="27"/>
        <v>670</v>
      </c>
      <c r="L672" s="5">
        <v>2.324671693600754E-3</v>
      </c>
    </row>
    <row r="673" spans="1:12" x14ac:dyDescent="0.25">
      <c r="A673" s="1">
        <v>44701</v>
      </c>
      <c r="B673">
        <v>185.8699951171875</v>
      </c>
      <c r="C673">
        <v>190.19000244140625</v>
      </c>
      <c r="D673">
        <v>179.77000427246094</v>
      </c>
      <c r="E673">
        <v>186.35000610351563</v>
      </c>
      <c r="F673">
        <v>186.35000610351563</v>
      </c>
      <c r="G673">
        <v>10429400</v>
      </c>
      <c r="I673" s="5">
        <f t="shared" si="26"/>
        <v>1.5521012234967982E-2</v>
      </c>
      <c r="K673" s="5">
        <f t="shared" si="27"/>
        <v>671</v>
      </c>
      <c r="L673" s="5">
        <v>2.3255796015885107E-3</v>
      </c>
    </row>
    <row r="674" spans="1:12" x14ac:dyDescent="0.25">
      <c r="A674" s="1">
        <v>44704</v>
      </c>
      <c r="B674">
        <v>186.14999389648438</v>
      </c>
      <c r="C674">
        <v>187.66000366210938</v>
      </c>
      <c r="D674">
        <v>177.88999938964844</v>
      </c>
      <c r="E674">
        <v>187.44000244140625</v>
      </c>
      <c r="F674">
        <v>187.44000244140625</v>
      </c>
      <c r="G674">
        <v>9602000</v>
      </c>
      <c r="I674" s="5">
        <f t="shared" si="26"/>
        <v>5.8321485463064494E-3</v>
      </c>
      <c r="K674" s="5">
        <f t="shared" si="27"/>
        <v>672</v>
      </c>
      <c r="L674" s="5">
        <v>2.406486167514558E-3</v>
      </c>
    </row>
    <row r="675" spans="1:12" x14ac:dyDescent="0.25">
      <c r="A675" s="1">
        <v>44705</v>
      </c>
      <c r="B675">
        <v>182</v>
      </c>
      <c r="C675">
        <v>184</v>
      </c>
      <c r="D675">
        <v>177.16999816894531</v>
      </c>
      <c r="E675">
        <v>180.33999633789063</v>
      </c>
      <c r="F675">
        <v>180.33999633789063</v>
      </c>
      <c r="G675">
        <v>7706400</v>
      </c>
      <c r="I675" s="5">
        <f t="shared" si="26"/>
        <v>-3.8614869459476023E-2</v>
      </c>
      <c r="K675" s="5">
        <f t="shared" si="27"/>
        <v>673</v>
      </c>
      <c r="L675" s="5">
        <v>2.4105987150212188E-3</v>
      </c>
    </row>
    <row r="676" spans="1:12" x14ac:dyDescent="0.25">
      <c r="A676" s="1">
        <v>44706</v>
      </c>
      <c r="B676">
        <v>180.27999877929688</v>
      </c>
      <c r="C676">
        <v>188.8699951171875</v>
      </c>
      <c r="D676">
        <v>180.16999816894531</v>
      </c>
      <c r="E676">
        <v>187.83000183105469</v>
      </c>
      <c r="F676">
        <v>187.83000183105469</v>
      </c>
      <c r="G676">
        <v>8522100</v>
      </c>
      <c r="I676" s="5">
        <f t="shared" si="26"/>
        <v>4.0693370408730903E-2</v>
      </c>
      <c r="K676" s="5">
        <f t="shared" si="27"/>
        <v>674</v>
      </c>
      <c r="L676" s="5">
        <v>2.4783940926826091E-3</v>
      </c>
    </row>
    <row r="677" spans="1:12" x14ac:dyDescent="0.25">
      <c r="A677" s="1">
        <v>44707</v>
      </c>
      <c r="B677">
        <v>186.49000549316406</v>
      </c>
      <c r="C677">
        <v>192.33999633789063</v>
      </c>
      <c r="D677">
        <v>183.08999633789063</v>
      </c>
      <c r="E677">
        <v>191.39999389648438</v>
      </c>
      <c r="F677">
        <v>191.39999389648438</v>
      </c>
      <c r="G677">
        <v>8049900</v>
      </c>
      <c r="I677" s="5">
        <f t="shared" si="26"/>
        <v>1.8828138956260634E-2</v>
      </c>
      <c r="K677" s="5">
        <f t="shared" si="27"/>
        <v>675</v>
      </c>
      <c r="L677" s="5">
        <v>2.4869985169894901E-3</v>
      </c>
    </row>
    <row r="678" spans="1:12" x14ac:dyDescent="0.25">
      <c r="A678" s="1">
        <v>44708</v>
      </c>
      <c r="B678">
        <v>193.19000244140625</v>
      </c>
      <c r="C678">
        <v>195.25</v>
      </c>
      <c r="D678">
        <v>190.3699951171875</v>
      </c>
      <c r="E678">
        <v>195.19000244140625</v>
      </c>
      <c r="F678">
        <v>195.19000244140625</v>
      </c>
      <c r="G678">
        <v>8586000</v>
      </c>
      <c r="I678" s="5">
        <f t="shared" si="26"/>
        <v>1.9608008536307179E-2</v>
      </c>
      <c r="K678" s="5">
        <f t="shared" si="27"/>
        <v>676</v>
      </c>
      <c r="L678" s="5">
        <v>2.5149442365819149E-3</v>
      </c>
    </row>
    <row r="679" spans="1:12" x14ac:dyDescent="0.25">
      <c r="A679" s="1">
        <v>44712</v>
      </c>
      <c r="B679">
        <v>196.17999267578125</v>
      </c>
      <c r="C679">
        <v>199.94999694824219</v>
      </c>
      <c r="D679">
        <v>190.80000305175781</v>
      </c>
      <c r="E679">
        <v>197.44000244140625</v>
      </c>
      <c r="F679">
        <v>197.44000244140625</v>
      </c>
      <c r="G679">
        <v>11398500</v>
      </c>
      <c r="I679" s="5">
        <f t="shared" si="26"/>
        <v>1.1461297415966019E-2</v>
      </c>
      <c r="K679" s="5">
        <f t="shared" si="27"/>
        <v>677</v>
      </c>
      <c r="L679" s="5">
        <v>2.5355989177543053E-3</v>
      </c>
    </row>
    <row r="680" spans="1:12" x14ac:dyDescent="0.25">
      <c r="A680" s="1">
        <v>44713</v>
      </c>
      <c r="B680">
        <v>198.69999694824219</v>
      </c>
      <c r="C680">
        <v>202.74000549316406</v>
      </c>
      <c r="D680">
        <v>191.66000366210938</v>
      </c>
      <c r="E680">
        <v>192.91000366210938</v>
      </c>
      <c r="F680">
        <v>192.91000366210938</v>
      </c>
      <c r="G680">
        <v>8416200</v>
      </c>
      <c r="I680" s="5">
        <f t="shared" si="26"/>
        <v>-2.3210975199019959E-2</v>
      </c>
      <c r="K680" s="5">
        <f t="shared" si="27"/>
        <v>678</v>
      </c>
      <c r="L680" s="5">
        <v>2.5585494197215134E-3</v>
      </c>
    </row>
    <row r="681" spans="1:12" x14ac:dyDescent="0.25">
      <c r="A681" s="1">
        <v>44714</v>
      </c>
      <c r="B681">
        <v>192.02000427246094</v>
      </c>
      <c r="C681">
        <v>205.47000122070313</v>
      </c>
      <c r="D681">
        <v>191.72000122070313</v>
      </c>
      <c r="E681">
        <v>205.08999633789063</v>
      </c>
      <c r="F681">
        <v>205.08999633789063</v>
      </c>
      <c r="G681">
        <v>9623100</v>
      </c>
      <c r="I681" s="5">
        <f t="shared" si="26"/>
        <v>6.1225111446222072E-2</v>
      </c>
      <c r="K681" s="5">
        <f t="shared" si="27"/>
        <v>679</v>
      </c>
      <c r="L681" s="5">
        <v>2.720817954817966E-3</v>
      </c>
    </row>
    <row r="682" spans="1:12" x14ac:dyDescent="0.25">
      <c r="A682" s="1">
        <v>44715</v>
      </c>
      <c r="B682">
        <v>200.13999938964844</v>
      </c>
      <c r="C682">
        <v>202.94999694824219</v>
      </c>
      <c r="D682">
        <v>198.05000305175781</v>
      </c>
      <c r="E682">
        <v>198.97999572753906</v>
      </c>
      <c r="F682">
        <v>198.97999572753906</v>
      </c>
      <c r="G682">
        <v>7191800</v>
      </c>
      <c r="I682" s="5">
        <f t="shared" si="26"/>
        <v>-3.0244593640129876E-2</v>
      </c>
      <c r="K682" s="5">
        <f t="shared" si="27"/>
        <v>680</v>
      </c>
      <c r="L682" s="5">
        <v>2.7369927673799774E-3</v>
      </c>
    </row>
    <row r="683" spans="1:12" x14ac:dyDescent="0.25">
      <c r="A683" s="1">
        <v>44718</v>
      </c>
      <c r="B683">
        <v>202.08999633789063</v>
      </c>
      <c r="C683">
        <v>203.8699951171875</v>
      </c>
      <c r="D683">
        <v>195.3800048828125</v>
      </c>
      <c r="E683">
        <v>197.13999938964844</v>
      </c>
      <c r="F683">
        <v>197.13999938964844</v>
      </c>
      <c r="G683">
        <v>5372000</v>
      </c>
      <c r="I683" s="5">
        <f t="shared" si="26"/>
        <v>-9.2901625481407023E-3</v>
      </c>
      <c r="K683" s="5">
        <f t="shared" si="27"/>
        <v>681</v>
      </c>
      <c r="L683" s="5">
        <v>2.7501255258074362E-3</v>
      </c>
    </row>
    <row r="684" spans="1:12" x14ac:dyDescent="0.25">
      <c r="A684" s="1">
        <v>44719</v>
      </c>
      <c r="B684">
        <v>194.8699951171875</v>
      </c>
      <c r="C684">
        <v>199.60000610351563</v>
      </c>
      <c r="D684">
        <v>193</v>
      </c>
      <c r="E684">
        <v>198.61000061035156</v>
      </c>
      <c r="F684">
        <v>198.61000061035156</v>
      </c>
      <c r="G684">
        <v>4839500</v>
      </c>
      <c r="I684" s="5">
        <f t="shared" si="26"/>
        <v>7.4289727425543815E-3</v>
      </c>
      <c r="K684" s="5">
        <f t="shared" si="27"/>
        <v>682</v>
      </c>
      <c r="L684" s="5">
        <v>2.8008153755551672E-3</v>
      </c>
    </row>
    <row r="685" spans="1:12" x14ac:dyDescent="0.25">
      <c r="A685" s="1">
        <v>44720</v>
      </c>
      <c r="B685">
        <v>197.94999694824219</v>
      </c>
      <c r="C685">
        <v>207.3800048828125</v>
      </c>
      <c r="D685">
        <v>197.63999938964844</v>
      </c>
      <c r="E685">
        <v>202.83000183105469</v>
      </c>
      <c r="F685">
        <v>202.83000183105469</v>
      </c>
      <c r="G685">
        <v>7244100</v>
      </c>
      <c r="I685" s="5">
        <f t="shared" si="26"/>
        <v>2.1025092914413842E-2</v>
      </c>
      <c r="K685" s="5">
        <f t="shared" si="27"/>
        <v>683</v>
      </c>
      <c r="L685" s="5">
        <v>2.8040213889013871E-3</v>
      </c>
    </row>
    <row r="686" spans="1:12" x14ac:dyDescent="0.25">
      <c r="A686" s="1">
        <v>44721</v>
      </c>
      <c r="B686">
        <v>200.64999389648438</v>
      </c>
      <c r="C686">
        <v>201.69000244140625</v>
      </c>
      <c r="D686">
        <v>192.53999328613281</v>
      </c>
      <c r="E686">
        <v>192.77000427246094</v>
      </c>
      <c r="F686">
        <v>192.77000427246094</v>
      </c>
      <c r="G686">
        <v>6949000</v>
      </c>
      <c r="I686" s="5">
        <f t="shared" si="26"/>
        <v>-5.087040822521445E-2</v>
      </c>
      <c r="K686" s="5">
        <f t="shared" si="27"/>
        <v>684</v>
      </c>
      <c r="L686" s="5">
        <v>2.8253583442573575E-3</v>
      </c>
    </row>
    <row r="687" spans="1:12" x14ac:dyDescent="0.25">
      <c r="A687" s="1">
        <v>44722</v>
      </c>
      <c r="B687">
        <v>182.63999938964844</v>
      </c>
      <c r="C687">
        <v>185.86000061035156</v>
      </c>
      <c r="D687">
        <v>180.85000610351563</v>
      </c>
      <c r="E687">
        <v>182.94000244140625</v>
      </c>
      <c r="F687">
        <v>182.94000244140625</v>
      </c>
      <c r="G687">
        <v>13065600</v>
      </c>
      <c r="I687" s="5">
        <f t="shared" si="26"/>
        <v>-5.2339546999403914E-2</v>
      </c>
      <c r="K687" s="5">
        <f t="shared" si="27"/>
        <v>685</v>
      </c>
      <c r="L687" s="5">
        <v>2.8327674619542179E-3</v>
      </c>
    </row>
    <row r="688" spans="1:12" x14ac:dyDescent="0.25">
      <c r="A688" s="1">
        <v>44725</v>
      </c>
      <c r="B688">
        <v>177.07000732421875</v>
      </c>
      <c r="C688">
        <v>179.08999633789063</v>
      </c>
      <c r="D688">
        <v>168.96000671386719</v>
      </c>
      <c r="E688">
        <v>169.69000244140625</v>
      </c>
      <c r="F688">
        <v>169.69000244140625</v>
      </c>
      <c r="G688">
        <v>10222400</v>
      </c>
      <c r="I688" s="5">
        <f t="shared" si="26"/>
        <v>-7.5184986201427856E-2</v>
      </c>
      <c r="K688" s="5">
        <f t="shared" si="27"/>
        <v>686</v>
      </c>
      <c r="L688" s="5">
        <v>2.9043684439899169E-3</v>
      </c>
    </row>
    <row r="689" spans="1:12" x14ac:dyDescent="0.25">
      <c r="A689" s="1">
        <v>44726</v>
      </c>
      <c r="B689">
        <v>169.75</v>
      </c>
      <c r="C689">
        <v>172.05999755859375</v>
      </c>
      <c r="D689">
        <v>164.27999877929688</v>
      </c>
      <c r="E689">
        <v>167.53999328613281</v>
      </c>
      <c r="F689">
        <v>167.53999328613281</v>
      </c>
      <c r="G689">
        <v>11555300</v>
      </c>
      <c r="I689" s="5">
        <f t="shared" si="26"/>
        <v>-1.2751168719740563E-2</v>
      </c>
      <c r="K689" s="5">
        <f t="shared" si="27"/>
        <v>687</v>
      </c>
      <c r="L689" s="5">
        <v>2.9159005684974218E-3</v>
      </c>
    </row>
    <row r="690" spans="1:12" x14ac:dyDescent="0.25">
      <c r="A690" s="1">
        <v>44727</v>
      </c>
      <c r="B690">
        <v>169.25999450683594</v>
      </c>
      <c r="C690">
        <v>183.85000610351563</v>
      </c>
      <c r="D690">
        <v>168.52999877929688</v>
      </c>
      <c r="E690">
        <v>180.11000061035156</v>
      </c>
      <c r="F690">
        <v>180.11000061035156</v>
      </c>
      <c r="G690">
        <v>12396000</v>
      </c>
      <c r="I690" s="5">
        <f t="shared" si="26"/>
        <v>7.2345690085294109E-2</v>
      </c>
      <c r="K690" s="5">
        <f t="shared" si="27"/>
        <v>688</v>
      </c>
      <c r="L690" s="5">
        <v>2.9411232346661102E-3</v>
      </c>
    </row>
    <row r="691" spans="1:12" x14ac:dyDescent="0.25">
      <c r="A691" s="1">
        <v>44728</v>
      </c>
      <c r="B691">
        <v>174</v>
      </c>
      <c r="C691">
        <v>176.27000427246094</v>
      </c>
      <c r="D691">
        <v>171.55999755859375</v>
      </c>
      <c r="E691">
        <v>173.35000610351563</v>
      </c>
      <c r="F691">
        <v>173.35000610351563</v>
      </c>
      <c r="G691">
        <v>8201300</v>
      </c>
      <c r="I691" s="5">
        <f t="shared" si="26"/>
        <v>-3.8255071397500749E-2</v>
      </c>
      <c r="K691" s="5">
        <f t="shared" si="27"/>
        <v>689</v>
      </c>
      <c r="L691" s="5">
        <v>2.9628081114642787E-3</v>
      </c>
    </row>
    <row r="692" spans="1:12" x14ac:dyDescent="0.25">
      <c r="A692" s="1">
        <v>44729</v>
      </c>
      <c r="B692">
        <v>173.6300048828125</v>
      </c>
      <c r="C692">
        <v>179.64999389648438</v>
      </c>
      <c r="D692">
        <v>173.33999633789063</v>
      </c>
      <c r="E692">
        <v>175.50999450683594</v>
      </c>
      <c r="F692">
        <v>175.50999450683594</v>
      </c>
      <c r="G692">
        <v>12133400</v>
      </c>
      <c r="I692" s="5">
        <f t="shared" si="26"/>
        <v>1.2383282701065153E-2</v>
      </c>
      <c r="K692" s="5">
        <f t="shared" si="27"/>
        <v>690</v>
      </c>
      <c r="L692" s="5">
        <v>2.9814576430795886E-3</v>
      </c>
    </row>
    <row r="693" spans="1:12" x14ac:dyDescent="0.25">
      <c r="A693" s="1">
        <v>44733</v>
      </c>
      <c r="B693">
        <v>177.60000610351563</v>
      </c>
      <c r="C693">
        <v>178.6199951171875</v>
      </c>
      <c r="D693">
        <v>169.80000305175781</v>
      </c>
      <c r="E693">
        <v>170.91000366210938</v>
      </c>
      <c r="F693">
        <v>170.91000366210938</v>
      </c>
      <c r="G693">
        <v>12177600</v>
      </c>
      <c r="I693" s="5">
        <f t="shared" si="26"/>
        <v>-2.6558866453766119E-2</v>
      </c>
      <c r="K693" s="5">
        <f t="shared" si="27"/>
        <v>691</v>
      </c>
      <c r="L693" s="5">
        <v>3.000765755698217E-3</v>
      </c>
    </row>
    <row r="694" spans="1:12" x14ac:dyDescent="0.25">
      <c r="A694" s="1">
        <v>44734</v>
      </c>
      <c r="B694">
        <v>170.75</v>
      </c>
      <c r="C694">
        <v>182.82000732421875</v>
      </c>
      <c r="D694">
        <v>170.19999694824219</v>
      </c>
      <c r="E694">
        <v>178.88999938964844</v>
      </c>
      <c r="F694">
        <v>178.88999938964844</v>
      </c>
      <c r="G694">
        <v>11992400</v>
      </c>
      <c r="I694" s="5">
        <f t="shared" si="26"/>
        <v>4.5633964803706767E-2</v>
      </c>
      <c r="K694" s="5">
        <f t="shared" si="27"/>
        <v>692</v>
      </c>
      <c r="L694" s="5">
        <v>3.0207709145343474E-3</v>
      </c>
    </row>
    <row r="695" spans="1:12" x14ac:dyDescent="0.25">
      <c r="A695" s="1">
        <v>44735</v>
      </c>
      <c r="B695">
        <v>180.5</v>
      </c>
      <c r="C695">
        <v>182.75999450683594</v>
      </c>
      <c r="D695">
        <v>175.8699951171875</v>
      </c>
      <c r="E695">
        <v>181.71000671386719</v>
      </c>
      <c r="F695">
        <v>181.71000671386719</v>
      </c>
      <c r="G695">
        <v>9538200</v>
      </c>
      <c r="I695" s="5">
        <f t="shared" si="26"/>
        <v>1.5640958217976272E-2</v>
      </c>
      <c r="K695" s="5">
        <f t="shared" si="27"/>
        <v>693</v>
      </c>
      <c r="L695" s="5">
        <v>3.0736470117641405E-3</v>
      </c>
    </row>
    <row r="696" spans="1:12" x14ac:dyDescent="0.25">
      <c r="A696" s="1">
        <v>44736</v>
      </c>
      <c r="B696">
        <v>183.5</v>
      </c>
      <c r="C696">
        <v>191.19000244140625</v>
      </c>
      <c r="D696">
        <v>181.83999633789063</v>
      </c>
      <c r="E696">
        <v>190.85000610351563</v>
      </c>
      <c r="F696">
        <v>190.85000610351563</v>
      </c>
      <c r="G696">
        <v>12424000</v>
      </c>
      <c r="I696" s="5">
        <f t="shared" si="26"/>
        <v>4.9075764562714543E-2</v>
      </c>
      <c r="K696" s="5">
        <f t="shared" si="27"/>
        <v>694</v>
      </c>
      <c r="L696" s="5">
        <v>3.096077300511028E-3</v>
      </c>
    </row>
    <row r="697" spans="1:12" x14ac:dyDescent="0.25">
      <c r="A697" s="1">
        <v>44739</v>
      </c>
      <c r="B697">
        <v>191.77000427246094</v>
      </c>
      <c r="C697">
        <v>191.77999877929688</v>
      </c>
      <c r="D697">
        <v>182.38999938964844</v>
      </c>
      <c r="E697">
        <v>189.13999938964844</v>
      </c>
      <c r="F697">
        <v>189.13999938964844</v>
      </c>
      <c r="G697">
        <v>8363900</v>
      </c>
      <c r="I697" s="5">
        <f t="shared" si="26"/>
        <v>-9.0003328115500492E-3</v>
      </c>
      <c r="K697" s="5">
        <f t="shared" si="27"/>
        <v>695</v>
      </c>
      <c r="L697" s="5">
        <v>3.1284136134689436E-3</v>
      </c>
    </row>
    <row r="698" spans="1:12" x14ac:dyDescent="0.25">
      <c r="A698" s="1">
        <v>44740</v>
      </c>
      <c r="B698">
        <v>189.19999694824219</v>
      </c>
      <c r="C698">
        <v>192.19999694824219</v>
      </c>
      <c r="D698">
        <v>179.3699951171875</v>
      </c>
      <c r="E698">
        <v>179.60000610351563</v>
      </c>
      <c r="F698">
        <v>179.60000610351563</v>
      </c>
      <c r="G698">
        <v>7185400</v>
      </c>
      <c r="I698" s="5">
        <f t="shared" si="26"/>
        <v>-5.1755288508344405E-2</v>
      </c>
      <c r="K698" s="5">
        <f t="shared" si="27"/>
        <v>696</v>
      </c>
      <c r="L698" s="5">
        <v>3.1658413879647298E-3</v>
      </c>
    </row>
    <row r="699" spans="1:12" x14ac:dyDescent="0.25">
      <c r="A699" s="1">
        <v>44741</v>
      </c>
      <c r="B699">
        <v>179.55000305175781</v>
      </c>
      <c r="C699">
        <v>180.66999816894531</v>
      </c>
      <c r="D699">
        <v>175.10000610351563</v>
      </c>
      <c r="E699">
        <v>178.36000061035156</v>
      </c>
      <c r="F699">
        <v>178.36000061035156</v>
      </c>
      <c r="G699">
        <v>5766800</v>
      </c>
      <c r="I699" s="5">
        <f t="shared" si="26"/>
        <v>-6.9282066707423741E-3</v>
      </c>
      <c r="K699" s="5">
        <f t="shared" si="27"/>
        <v>697</v>
      </c>
      <c r="L699" s="5">
        <v>3.1883968573041288E-3</v>
      </c>
    </row>
    <row r="700" spans="1:12" x14ac:dyDescent="0.25">
      <c r="A700" s="1">
        <v>44742</v>
      </c>
      <c r="B700">
        <v>177.07000732421875</v>
      </c>
      <c r="C700">
        <v>179.44999694824219</v>
      </c>
      <c r="D700">
        <v>170.30000305175781</v>
      </c>
      <c r="E700">
        <v>174.8699951171875</v>
      </c>
      <c r="F700">
        <v>174.8699951171875</v>
      </c>
      <c r="G700">
        <v>7894700</v>
      </c>
      <c r="I700" s="5">
        <f t="shared" si="26"/>
        <v>-1.9761170378256816E-2</v>
      </c>
      <c r="K700" s="5">
        <f t="shared" si="27"/>
        <v>698</v>
      </c>
      <c r="L700" s="5">
        <v>3.2524722099968174E-3</v>
      </c>
    </row>
    <row r="701" spans="1:12" x14ac:dyDescent="0.25">
      <c r="A701" s="1">
        <v>44743</v>
      </c>
      <c r="B701">
        <v>176.49000549316406</v>
      </c>
      <c r="C701">
        <v>180.10000610351563</v>
      </c>
      <c r="D701">
        <v>174.27000427246094</v>
      </c>
      <c r="E701">
        <v>179.94999694824219</v>
      </c>
      <c r="F701">
        <v>179.94999694824219</v>
      </c>
      <c r="G701">
        <v>5201600</v>
      </c>
      <c r="I701" s="5">
        <f t="shared" si="26"/>
        <v>2.8636204763079137E-2</v>
      </c>
      <c r="K701" s="5">
        <f t="shared" si="27"/>
        <v>699</v>
      </c>
      <c r="L701" s="5">
        <v>3.2581726910635585E-3</v>
      </c>
    </row>
    <row r="702" spans="1:12" x14ac:dyDescent="0.25">
      <c r="A702" s="1">
        <v>44747</v>
      </c>
      <c r="B702">
        <v>176.27999877929688</v>
      </c>
      <c r="C702">
        <v>185.91999816894531</v>
      </c>
      <c r="D702">
        <v>172.67999267578125</v>
      </c>
      <c r="E702">
        <v>185.8800048828125</v>
      </c>
      <c r="F702">
        <v>185.8800048828125</v>
      </c>
      <c r="G702">
        <v>7334300</v>
      </c>
      <c r="I702" s="5">
        <f t="shared" si="26"/>
        <v>3.2422312919286052E-2</v>
      </c>
      <c r="K702" s="5">
        <f t="shared" si="27"/>
        <v>700</v>
      </c>
      <c r="L702" s="5">
        <v>3.2582792570672149E-3</v>
      </c>
    </row>
    <row r="703" spans="1:12" x14ac:dyDescent="0.25">
      <c r="A703" s="1">
        <v>44748</v>
      </c>
      <c r="B703">
        <v>185.19999694824219</v>
      </c>
      <c r="C703">
        <v>186.22000122070313</v>
      </c>
      <c r="D703">
        <v>180.82000732421875</v>
      </c>
      <c r="E703">
        <v>184.05999755859375</v>
      </c>
      <c r="F703">
        <v>184.05999755859375</v>
      </c>
      <c r="G703">
        <v>5753400</v>
      </c>
      <c r="I703" s="5">
        <f t="shared" si="26"/>
        <v>-9.8395523388810097E-3</v>
      </c>
      <c r="K703" s="5">
        <f t="shared" si="27"/>
        <v>701</v>
      </c>
      <c r="L703" s="5">
        <v>3.2893572180980281E-3</v>
      </c>
    </row>
    <row r="704" spans="1:12" x14ac:dyDescent="0.25">
      <c r="A704" s="1">
        <v>44749</v>
      </c>
      <c r="B704">
        <v>184.27000427246094</v>
      </c>
      <c r="C704">
        <v>190.21000671386719</v>
      </c>
      <c r="D704">
        <v>183.5</v>
      </c>
      <c r="E704">
        <v>189.27000427246094</v>
      </c>
      <c r="F704">
        <v>189.27000427246094</v>
      </c>
      <c r="G704">
        <v>6334500</v>
      </c>
      <c r="I704" s="5">
        <f t="shared" si="26"/>
        <v>2.7912811477669455E-2</v>
      </c>
      <c r="K704" s="5">
        <f t="shared" si="27"/>
        <v>702</v>
      </c>
      <c r="L704" s="5">
        <v>3.3586242434857816E-3</v>
      </c>
    </row>
    <row r="705" spans="1:12" x14ac:dyDescent="0.25">
      <c r="A705" s="1">
        <v>44750</v>
      </c>
      <c r="B705">
        <v>186.02000427246094</v>
      </c>
      <c r="C705">
        <v>189.91000366210938</v>
      </c>
      <c r="D705">
        <v>182.75</v>
      </c>
      <c r="E705">
        <v>186.97999572753906</v>
      </c>
      <c r="F705">
        <v>186.97999572753906</v>
      </c>
      <c r="G705">
        <v>5835700</v>
      </c>
      <c r="I705" s="5">
        <f t="shared" si="26"/>
        <v>-1.2172953210852497E-2</v>
      </c>
      <c r="K705" s="5">
        <f t="shared" si="27"/>
        <v>703</v>
      </c>
      <c r="L705" s="5">
        <v>3.3901062637031612E-3</v>
      </c>
    </row>
    <row r="706" spans="1:12" x14ac:dyDescent="0.25">
      <c r="A706" s="1">
        <v>44753</v>
      </c>
      <c r="B706">
        <v>184.72999572753906</v>
      </c>
      <c r="C706">
        <v>184.99000549316406</v>
      </c>
      <c r="D706">
        <v>176.88999938964844</v>
      </c>
      <c r="E706">
        <v>177.33999633789063</v>
      </c>
      <c r="F706">
        <v>177.33999633789063</v>
      </c>
      <c r="G706">
        <v>6038800</v>
      </c>
      <c r="I706" s="5">
        <f t="shared" si="26"/>
        <v>-5.2932863111696454E-2</v>
      </c>
      <c r="K706" s="5">
        <f t="shared" si="27"/>
        <v>704</v>
      </c>
      <c r="L706" s="5">
        <v>3.4580592083289234E-3</v>
      </c>
    </row>
    <row r="707" spans="1:12" x14ac:dyDescent="0.25">
      <c r="A707" s="1">
        <v>44754</v>
      </c>
      <c r="B707">
        <v>177.33000183105469</v>
      </c>
      <c r="C707">
        <v>179.77999877929688</v>
      </c>
      <c r="D707">
        <v>173.41999816894531</v>
      </c>
      <c r="E707">
        <v>174.44999694824219</v>
      </c>
      <c r="F707">
        <v>174.44999694824219</v>
      </c>
      <c r="G707">
        <v>6845300</v>
      </c>
      <c r="I707" s="5">
        <f t="shared" si="26"/>
        <v>-1.6430623162457299E-2</v>
      </c>
      <c r="K707" s="5">
        <f t="shared" si="27"/>
        <v>705</v>
      </c>
      <c r="L707" s="5">
        <v>3.4728956379514375E-3</v>
      </c>
    </row>
    <row r="708" spans="1:12" x14ac:dyDescent="0.25">
      <c r="A708" s="1">
        <v>44755</v>
      </c>
      <c r="B708">
        <v>170.5</v>
      </c>
      <c r="C708">
        <v>179.17999267578125</v>
      </c>
      <c r="D708">
        <v>169.69999694824219</v>
      </c>
      <c r="E708">
        <v>176.55999755859375</v>
      </c>
      <c r="F708">
        <v>176.55999755859375</v>
      </c>
      <c r="G708">
        <v>12734400</v>
      </c>
      <c r="I708" s="5">
        <f t="shared" ref="I708:I771" si="28">LN(F708/F707)</f>
        <v>1.2022597981664454E-2</v>
      </c>
      <c r="K708" s="5">
        <f t="shared" ref="K708:K771" si="29">_xlfn.RANK.AVG(L708,_xlfn.ANCHORARRAY($L$3),1)</f>
        <v>706</v>
      </c>
      <c r="L708" s="5">
        <v>3.5500022812112956E-3</v>
      </c>
    </row>
    <row r="709" spans="1:12" x14ac:dyDescent="0.25">
      <c r="A709" s="1">
        <v>44756</v>
      </c>
      <c r="B709">
        <v>175.55999755859375</v>
      </c>
      <c r="C709">
        <v>177.52000427246094</v>
      </c>
      <c r="D709">
        <v>171.82000732421875</v>
      </c>
      <c r="E709">
        <v>174.77999877929688</v>
      </c>
      <c r="F709">
        <v>174.77999877929688</v>
      </c>
      <c r="G709">
        <v>9039500</v>
      </c>
      <c r="I709" s="5">
        <f t="shared" si="28"/>
        <v>-1.0132714905679803E-2</v>
      </c>
      <c r="K709" s="5">
        <f t="shared" si="29"/>
        <v>707</v>
      </c>
      <c r="L709" s="5">
        <v>3.6144762951296895E-3</v>
      </c>
    </row>
    <row r="710" spans="1:12" x14ac:dyDescent="0.25">
      <c r="A710" s="1">
        <v>44757</v>
      </c>
      <c r="B710">
        <v>175.58000183105469</v>
      </c>
      <c r="C710">
        <v>189.22000122070313</v>
      </c>
      <c r="D710">
        <v>174.55999755859375</v>
      </c>
      <c r="E710">
        <v>189.11000061035156</v>
      </c>
      <c r="F710">
        <v>189.11000061035156</v>
      </c>
      <c r="G710">
        <v>16319100</v>
      </c>
      <c r="I710" s="5">
        <f t="shared" si="28"/>
        <v>7.8800826351504843E-2</v>
      </c>
      <c r="K710" s="5">
        <f t="shared" si="29"/>
        <v>708</v>
      </c>
      <c r="L710" s="5">
        <v>3.6384636178366605E-3</v>
      </c>
    </row>
    <row r="711" spans="1:12" x14ac:dyDescent="0.25">
      <c r="A711" s="1">
        <v>44760</v>
      </c>
      <c r="B711">
        <v>192.5</v>
      </c>
      <c r="C711">
        <v>199.66999816894531</v>
      </c>
      <c r="D711">
        <v>189.80000305175781</v>
      </c>
      <c r="E711">
        <v>190.91999816894531</v>
      </c>
      <c r="F711">
        <v>190.91999816894531</v>
      </c>
      <c r="G711">
        <v>16322800</v>
      </c>
      <c r="I711" s="5">
        <f t="shared" si="28"/>
        <v>9.5256229803285797E-3</v>
      </c>
      <c r="K711" s="5">
        <f t="shared" si="29"/>
        <v>709</v>
      </c>
      <c r="L711" s="5">
        <v>3.6510833014060441E-3</v>
      </c>
    </row>
    <row r="712" spans="1:12" x14ac:dyDescent="0.25">
      <c r="A712" s="1">
        <v>44761</v>
      </c>
      <c r="B712">
        <v>193.02000427246094</v>
      </c>
      <c r="C712">
        <v>201.97000122070313</v>
      </c>
      <c r="D712">
        <v>188.39999389648438</v>
      </c>
      <c r="E712">
        <v>201.6300048828125</v>
      </c>
      <c r="F712">
        <v>201.6300048828125</v>
      </c>
      <c r="G712">
        <v>28178700</v>
      </c>
      <c r="I712" s="5">
        <f t="shared" si="28"/>
        <v>5.4579876319675369E-2</v>
      </c>
      <c r="K712" s="5">
        <f t="shared" si="29"/>
        <v>710</v>
      </c>
      <c r="L712" s="5">
        <v>3.7079851037181617E-3</v>
      </c>
    </row>
    <row r="713" spans="1:12" x14ac:dyDescent="0.25">
      <c r="A713" s="1">
        <v>44762</v>
      </c>
      <c r="B713">
        <v>208.16999816894531</v>
      </c>
      <c r="C713">
        <v>216.97000122070313</v>
      </c>
      <c r="D713">
        <v>200.10000610351563</v>
      </c>
      <c r="E713">
        <v>216.44000244140625</v>
      </c>
      <c r="F713">
        <v>216.44000244140625</v>
      </c>
      <c r="G713">
        <v>53920300</v>
      </c>
      <c r="I713" s="5">
        <f t="shared" si="28"/>
        <v>7.0879025187683353E-2</v>
      </c>
      <c r="K713" s="5">
        <f t="shared" si="29"/>
        <v>711</v>
      </c>
      <c r="L713" s="5">
        <v>3.7496523274205048E-3</v>
      </c>
    </row>
    <row r="714" spans="1:12" x14ac:dyDescent="0.25">
      <c r="A714" s="1">
        <v>44763</v>
      </c>
      <c r="B714">
        <v>214.30000305175781</v>
      </c>
      <c r="C714">
        <v>224.32000732421875</v>
      </c>
      <c r="D714">
        <v>211.5</v>
      </c>
      <c r="E714">
        <v>223.8800048828125</v>
      </c>
      <c r="F714">
        <v>223.8800048828125</v>
      </c>
      <c r="G714">
        <v>23430100</v>
      </c>
      <c r="I714" s="5">
        <f t="shared" si="28"/>
        <v>3.3796831778748745E-2</v>
      </c>
      <c r="K714" s="5">
        <f t="shared" si="29"/>
        <v>712</v>
      </c>
      <c r="L714" s="5">
        <v>3.7893344207332474E-3</v>
      </c>
    </row>
    <row r="715" spans="1:12" x14ac:dyDescent="0.25">
      <c r="A715" s="1">
        <v>44764</v>
      </c>
      <c r="B715">
        <v>222.3800048828125</v>
      </c>
      <c r="C715">
        <v>229.35000610351563</v>
      </c>
      <c r="D715">
        <v>218.44000244140625</v>
      </c>
      <c r="E715">
        <v>220.44000244140625</v>
      </c>
      <c r="F715">
        <v>220.44000244140625</v>
      </c>
      <c r="G715">
        <v>17805500</v>
      </c>
      <c r="I715" s="5">
        <f t="shared" si="28"/>
        <v>-1.5484655742927218E-2</v>
      </c>
      <c r="K715" s="5">
        <f t="shared" si="29"/>
        <v>713</v>
      </c>
      <c r="L715" s="5">
        <v>3.792948914151347E-3</v>
      </c>
    </row>
    <row r="716" spans="1:12" x14ac:dyDescent="0.25">
      <c r="A716" s="1">
        <v>44767</v>
      </c>
      <c r="B716">
        <v>221.30999755859375</v>
      </c>
      <c r="C716">
        <v>225.22999572753906</v>
      </c>
      <c r="D716">
        <v>216.35000610351563</v>
      </c>
      <c r="E716">
        <v>218.50999450683594</v>
      </c>
      <c r="F716">
        <v>218.50999450683594</v>
      </c>
      <c r="G716">
        <v>10935200</v>
      </c>
      <c r="I716" s="5">
        <f t="shared" si="28"/>
        <v>-8.7938051505986551E-3</v>
      </c>
      <c r="K716" s="5">
        <f t="shared" si="29"/>
        <v>714</v>
      </c>
      <c r="L716" s="5">
        <v>3.8689710021917573E-3</v>
      </c>
    </row>
    <row r="717" spans="1:12" x14ac:dyDescent="0.25">
      <c r="A717" s="1">
        <v>44768</v>
      </c>
      <c r="B717">
        <v>216.66000366210938</v>
      </c>
      <c r="C717">
        <v>219.38999938964844</v>
      </c>
      <c r="D717">
        <v>211.63999938964844</v>
      </c>
      <c r="E717">
        <v>213.91000366210938</v>
      </c>
      <c r="F717">
        <v>213.91000366210938</v>
      </c>
      <c r="G717">
        <v>9508500</v>
      </c>
      <c r="I717" s="5">
        <f t="shared" si="28"/>
        <v>-2.1276372006012397E-2</v>
      </c>
      <c r="K717" s="5">
        <f t="shared" si="29"/>
        <v>715</v>
      </c>
      <c r="L717" s="5">
        <v>3.8690756037277996E-3</v>
      </c>
    </row>
    <row r="718" spans="1:12" x14ac:dyDescent="0.25">
      <c r="A718" s="1">
        <v>44769</v>
      </c>
      <c r="B718">
        <v>216.47999572753906</v>
      </c>
      <c r="C718">
        <v>227.77999877929688</v>
      </c>
      <c r="D718">
        <v>214.58000183105469</v>
      </c>
      <c r="E718">
        <v>226.75</v>
      </c>
      <c r="F718">
        <v>226.75</v>
      </c>
      <c r="G718">
        <v>10508400</v>
      </c>
      <c r="I718" s="5">
        <f t="shared" si="28"/>
        <v>5.8292706061671667E-2</v>
      </c>
      <c r="K718" s="5">
        <f t="shared" si="29"/>
        <v>716</v>
      </c>
      <c r="L718" s="5">
        <v>3.8862655930409257E-3</v>
      </c>
    </row>
    <row r="719" spans="1:12" x14ac:dyDescent="0.25">
      <c r="A719" s="1">
        <v>44770</v>
      </c>
      <c r="B719">
        <v>224.60000610351563</v>
      </c>
      <c r="C719">
        <v>228.10000610351563</v>
      </c>
      <c r="D719">
        <v>219.66999816894531</v>
      </c>
      <c r="E719">
        <v>226.02000427246094</v>
      </c>
      <c r="F719">
        <v>226.02000427246094</v>
      </c>
      <c r="G719">
        <v>8972700</v>
      </c>
      <c r="I719" s="5">
        <f t="shared" si="28"/>
        <v>-3.2245791602198413E-3</v>
      </c>
      <c r="K719" s="5">
        <f t="shared" si="29"/>
        <v>717</v>
      </c>
      <c r="L719" s="5">
        <v>3.9184150082788704E-3</v>
      </c>
    </row>
    <row r="720" spans="1:12" x14ac:dyDescent="0.25">
      <c r="A720" s="1">
        <v>44771</v>
      </c>
      <c r="B720">
        <v>223.28999328613281</v>
      </c>
      <c r="C720">
        <v>230.75</v>
      </c>
      <c r="D720">
        <v>222.39999389648438</v>
      </c>
      <c r="E720">
        <v>224.89999389648438</v>
      </c>
      <c r="F720">
        <v>224.89999389648438</v>
      </c>
      <c r="G720">
        <v>9064900</v>
      </c>
      <c r="I720" s="5">
        <f t="shared" si="28"/>
        <v>-4.9676780085543184E-3</v>
      </c>
      <c r="K720" s="5">
        <f t="shared" si="29"/>
        <v>718</v>
      </c>
      <c r="L720" s="5">
        <v>3.9883273706531591E-3</v>
      </c>
    </row>
    <row r="721" spans="1:12" x14ac:dyDescent="0.25">
      <c r="A721" s="1">
        <v>44774</v>
      </c>
      <c r="B721">
        <v>223.10000610351563</v>
      </c>
      <c r="C721">
        <v>228.38999938964844</v>
      </c>
      <c r="D721">
        <v>221</v>
      </c>
      <c r="E721">
        <v>226.21000671386719</v>
      </c>
      <c r="F721">
        <v>226.21000671386719</v>
      </c>
      <c r="G721">
        <v>5525000</v>
      </c>
      <c r="I721" s="5">
        <f t="shared" si="28"/>
        <v>5.8079692230701783E-3</v>
      </c>
      <c r="K721" s="5">
        <f t="shared" si="29"/>
        <v>719</v>
      </c>
      <c r="L721" s="5">
        <v>4.0478636955167679E-3</v>
      </c>
    </row>
    <row r="722" spans="1:12" x14ac:dyDescent="0.25">
      <c r="A722" s="1">
        <v>44775</v>
      </c>
      <c r="B722">
        <v>222.75999450683594</v>
      </c>
      <c r="C722">
        <v>228.19999694824219</v>
      </c>
      <c r="D722">
        <v>220.8800048828125</v>
      </c>
      <c r="E722">
        <v>221.41999816894531</v>
      </c>
      <c r="F722">
        <v>221.41999816894531</v>
      </c>
      <c r="G722">
        <v>6361300</v>
      </c>
      <c r="I722" s="5">
        <f t="shared" si="28"/>
        <v>-2.1402458887820705E-2</v>
      </c>
      <c r="K722" s="5">
        <f t="shared" si="29"/>
        <v>720</v>
      </c>
      <c r="L722" s="5">
        <v>4.0583719372817182E-3</v>
      </c>
    </row>
    <row r="723" spans="1:12" x14ac:dyDescent="0.25">
      <c r="A723" s="1">
        <v>44776</v>
      </c>
      <c r="B723">
        <v>224.78999328613281</v>
      </c>
      <c r="C723">
        <v>228.10000610351563</v>
      </c>
      <c r="D723">
        <v>222.41999816894531</v>
      </c>
      <c r="E723">
        <v>226.72999572753906</v>
      </c>
      <c r="F723">
        <v>226.72999572753906</v>
      </c>
      <c r="G723">
        <v>6400700</v>
      </c>
      <c r="I723" s="5">
        <f t="shared" si="28"/>
        <v>2.3698521233002413E-2</v>
      </c>
      <c r="K723" s="5">
        <f t="shared" si="29"/>
        <v>721</v>
      </c>
      <c r="L723" s="5">
        <v>4.2417342884800415E-3</v>
      </c>
    </row>
    <row r="724" spans="1:12" x14ac:dyDescent="0.25">
      <c r="A724" s="1">
        <v>44777</v>
      </c>
      <c r="B724">
        <v>227.67999267578125</v>
      </c>
      <c r="C724">
        <v>232.07000732421875</v>
      </c>
      <c r="D724">
        <v>225.05000305175781</v>
      </c>
      <c r="E724">
        <v>229.91000366210938</v>
      </c>
      <c r="F724">
        <v>229.91000366210938</v>
      </c>
      <c r="G724">
        <v>7142700</v>
      </c>
      <c r="I724" s="5">
        <f t="shared" si="28"/>
        <v>1.3928080529568556E-2</v>
      </c>
      <c r="K724" s="5">
        <f t="shared" si="29"/>
        <v>722</v>
      </c>
      <c r="L724" s="5">
        <v>4.2896954309621788E-3</v>
      </c>
    </row>
    <row r="725" spans="1:12" x14ac:dyDescent="0.25">
      <c r="A725" s="1">
        <v>44778</v>
      </c>
      <c r="B725">
        <v>225.30000305175781</v>
      </c>
      <c r="C725">
        <v>228.6199951171875</v>
      </c>
      <c r="D725">
        <v>222.8699951171875</v>
      </c>
      <c r="E725">
        <v>226.77999877929688</v>
      </c>
      <c r="F725">
        <v>226.77999877929688</v>
      </c>
      <c r="G725">
        <v>5539700</v>
      </c>
      <c r="I725" s="5">
        <f t="shared" si="28"/>
        <v>-1.3707564763362368E-2</v>
      </c>
      <c r="K725" s="5">
        <f t="shared" si="29"/>
        <v>723</v>
      </c>
      <c r="L725" s="5">
        <v>4.2955760173396234E-3</v>
      </c>
    </row>
    <row r="726" spans="1:12" x14ac:dyDescent="0.25">
      <c r="A726" s="1">
        <v>44781</v>
      </c>
      <c r="B726">
        <v>227.49000549316406</v>
      </c>
      <c r="C726">
        <v>241.96000671386719</v>
      </c>
      <c r="D726">
        <v>226.41000366210938</v>
      </c>
      <c r="E726">
        <v>233.49000549316406</v>
      </c>
      <c r="F726">
        <v>233.49000549316406</v>
      </c>
      <c r="G726">
        <v>10982100</v>
      </c>
      <c r="I726" s="5">
        <f t="shared" si="28"/>
        <v>2.9158894004811437E-2</v>
      </c>
      <c r="K726" s="5">
        <f t="shared" si="29"/>
        <v>724</v>
      </c>
      <c r="L726" s="5">
        <v>4.3022078383640481E-3</v>
      </c>
    </row>
    <row r="727" spans="1:12" x14ac:dyDescent="0.25">
      <c r="A727" s="1">
        <v>44782</v>
      </c>
      <c r="B727">
        <v>231.6199951171875</v>
      </c>
      <c r="C727">
        <v>232.19999694824219</v>
      </c>
      <c r="D727">
        <v>224.64999389648438</v>
      </c>
      <c r="E727">
        <v>229.94000244140625</v>
      </c>
      <c r="F727">
        <v>229.94000244140625</v>
      </c>
      <c r="G727">
        <v>6181200</v>
      </c>
      <c r="I727" s="5">
        <f t="shared" si="28"/>
        <v>-1.5320857222568034E-2</v>
      </c>
      <c r="K727" s="5">
        <f t="shared" si="29"/>
        <v>725</v>
      </c>
      <c r="L727" s="5">
        <v>4.3807052461442347E-3</v>
      </c>
    </row>
    <row r="728" spans="1:12" x14ac:dyDescent="0.25">
      <c r="A728" s="1">
        <v>44783</v>
      </c>
      <c r="B728">
        <v>236.99000549316406</v>
      </c>
      <c r="C728">
        <v>244.53999328613281</v>
      </c>
      <c r="D728">
        <v>236.60000610351563</v>
      </c>
      <c r="E728">
        <v>244.11000061035156</v>
      </c>
      <c r="F728">
        <v>244.11000061035156</v>
      </c>
      <c r="G728">
        <v>9254800</v>
      </c>
      <c r="I728" s="5">
        <f t="shared" si="28"/>
        <v>5.9800529933815565E-2</v>
      </c>
      <c r="K728" s="5">
        <f t="shared" si="29"/>
        <v>726</v>
      </c>
      <c r="L728" s="5">
        <v>4.4091012060447311E-3</v>
      </c>
    </row>
    <row r="729" spans="1:12" x14ac:dyDescent="0.25">
      <c r="A729" s="1">
        <v>44784</v>
      </c>
      <c r="B729">
        <v>244.67999267578125</v>
      </c>
      <c r="C729">
        <v>251.6199951171875</v>
      </c>
      <c r="D729">
        <v>241.50999450683594</v>
      </c>
      <c r="E729">
        <v>242.69999694824219</v>
      </c>
      <c r="F729">
        <v>242.69999694824219</v>
      </c>
      <c r="G729">
        <v>8780100</v>
      </c>
      <c r="I729" s="5">
        <f t="shared" si="28"/>
        <v>-5.7928457186314395E-3</v>
      </c>
      <c r="K729" s="5">
        <f t="shared" si="29"/>
        <v>727</v>
      </c>
      <c r="L729" s="5">
        <v>4.5074117897076016E-3</v>
      </c>
    </row>
    <row r="730" spans="1:12" x14ac:dyDescent="0.25">
      <c r="A730" s="1">
        <v>44785</v>
      </c>
      <c r="B730">
        <v>244.80999755859375</v>
      </c>
      <c r="C730">
        <v>249.41000366210938</v>
      </c>
      <c r="D730">
        <v>243.75999450683594</v>
      </c>
      <c r="E730">
        <v>249.30000305175781</v>
      </c>
      <c r="F730">
        <v>249.30000305175781</v>
      </c>
      <c r="G730">
        <v>6098500</v>
      </c>
      <c r="I730" s="5">
        <f t="shared" si="28"/>
        <v>2.6830902612461256E-2</v>
      </c>
      <c r="K730" s="5">
        <f t="shared" si="29"/>
        <v>728</v>
      </c>
      <c r="L730" s="5">
        <v>4.5535578216909702E-3</v>
      </c>
    </row>
    <row r="731" spans="1:12" x14ac:dyDescent="0.25">
      <c r="A731" s="1">
        <v>44788</v>
      </c>
      <c r="B731">
        <v>248.11000061035156</v>
      </c>
      <c r="C731">
        <v>251.99000549316406</v>
      </c>
      <c r="D731">
        <v>247.50999450683594</v>
      </c>
      <c r="E731">
        <v>249.11000061035156</v>
      </c>
      <c r="F731">
        <v>249.11000061035156</v>
      </c>
      <c r="G731">
        <v>6527400</v>
      </c>
      <c r="I731" s="5">
        <f t="shared" si="28"/>
        <v>-7.6243433805235259E-4</v>
      </c>
      <c r="K731" s="5">
        <f t="shared" si="29"/>
        <v>729</v>
      </c>
      <c r="L731" s="5">
        <v>4.5934210849947867E-3</v>
      </c>
    </row>
    <row r="732" spans="1:12" x14ac:dyDescent="0.25">
      <c r="A732" s="1">
        <v>44789</v>
      </c>
      <c r="B732">
        <v>247.16000366210938</v>
      </c>
      <c r="C732">
        <v>249.28999328613281</v>
      </c>
      <c r="D732">
        <v>244.02999877929688</v>
      </c>
      <c r="E732">
        <v>245.69000244140625</v>
      </c>
      <c r="F732">
        <v>245.69000244140625</v>
      </c>
      <c r="G732">
        <v>5136800</v>
      </c>
      <c r="I732" s="5">
        <f t="shared" si="28"/>
        <v>-1.3823979837664669E-2</v>
      </c>
      <c r="K732" s="5">
        <f t="shared" si="29"/>
        <v>730</v>
      </c>
      <c r="L732" s="5">
        <v>4.6244646136768984E-3</v>
      </c>
    </row>
    <row r="733" spans="1:12" x14ac:dyDescent="0.25">
      <c r="A733" s="1">
        <v>44790</v>
      </c>
      <c r="B733">
        <v>241.17999267578125</v>
      </c>
      <c r="C733">
        <v>244.24000549316406</v>
      </c>
      <c r="D733">
        <v>237.55999755859375</v>
      </c>
      <c r="E733">
        <v>241.14999389648438</v>
      </c>
      <c r="F733">
        <v>241.14999389648438</v>
      </c>
      <c r="G733">
        <v>5627200</v>
      </c>
      <c r="I733" s="5">
        <f t="shared" si="28"/>
        <v>-1.8651467390159313E-2</v>
      </c>
      <c r="K733" s="5">
        <f t="shared" si="29"/>
        <v>731</v>
      </c>
      <c r="L733" s="5">
        <v>4.6278264230205359E-3</v>
      </c>
    </row>
    <row r="734" spans="1:12" x14ac:dyDescent="0.25">
      <c r="A734" s="1">
        <v>44791</v>
      </c>
      <c r="B734">
        <v>241.96000671386719</v>
      </c>
      <c r="C734">
        <v>246.47999572753906</v>
      </c>
      <c r="D734">
        <v>239.27999877929688</v>
      </c>
      <c r="E734">
        <v>245.16999816894531</v>
      </c>
      <c r="F734">
        <v>245.16999816894531</v>
      </c>
      <c r="G734">
        <v>5280400</v>
      </c>
      <c r="I734" s="5">
        <f t="shared" si="28"/>
        <v>1.6532718800567916E-2</v>
      </c>
      <c r="K734" s="5">
        <f t="shared" si="29"/>
        <v>732</v>
      </c>
      <c r="L734" s="5">
        <v>4.6744975899553586E-3</v>
      </c>
    </row>
    <row r="735" spans="1:12" x14ac:dyDescent="0.25">
      <c r="A735" s="1">
        <v>44792</v>
      </c>
      <c r="B735">
        <v>240.94999694824219</v>
      </c>
      <c r="C735">
        <v>243.28999328613281</v>
      </c>
      <c r="D735">
        <v>235.67999267578125</v>
      </c>
      <c r="E735">
        <v>241.16000366210938</v>
      </c>
      <c r="F735">
        <v>241.16000366210938</v>
      </c>
      <c r="G735">
        <v>7504700</v>
      </c>
      <c r="I735" s="5">
        <f t="shared" si="28"/>
        <v>-1.6491211198912975E-2</v>
      </c>
      <c r="K735" s="5">
        <f t="shared" si="29"/>
        <v>733</v>
      </c>
      <c r="L735" s="5">
        <v>4.6789580942570861E-3</v>
      </c>
    </row>
    <row r="736" spans="1:12" x14ac:dyDescent="0.25">
      <c r="A736" s="1">
        <v>44795</v>
      </c>
      <c r="B736">
        <v>232.55000305175781</v>
      </c>
      <c r="C736">
        <v>233.47999572753906</v>
      </c>
      <c r="D736">
        <v>224.58999633789063</v>
      </c>
      <c r="E736">
        <v>226.53999328613281</v>
      </c>
      <c r="F736">
        <v>226.53999328613281</v>
      </c>
      <c r="G736">
        <v>8630100</v>
      </c>
      <c r="I736" s="5">
        <f t="shared" si="28"/>
        <v>-6.2539128670594468E-2</v>
      </c>
      <c r="K736" s="5">
        <f t="shared" si="29"/>
        <v>734</v>
      </c>
      <c r="L736" s="5">
        <v>4.6829013648092242E-3</v>
      </c>
    </row>
    <row r="737" spans="1:12" x14ac:dyDescent="0.25">
      <c r="A737" s="1">
        <v>44796</v>
      </c>
      <c r="B737">
        <v>226.46000671386719</v>
      </c>
      <c r="C737">
        <v>229.89999389648438</v>
      </c>
      <c r="D737">
        <v>224.30000305175781</v>
      </c>
      <c r="E737">
        <v>224.55000305175781</v>
      </c>
      <c r="F737">
        <v>224.55000305175781</v>
      </c>
      <c r="G737">
        <v>5276900</v>
      </c>
      <c r="I737" s="5">
        <f t="shared" si="28"/>
        <v>-8.8230870117070315E-3</v>
      </c>
      <c r="K737" s="5">
        <f t="shared" si="29"/>
        <v>735</v>
      </c>
      <c r="L737" s="5">
        <v>4.7124504821613768E-3</v>
      </c>
    </row>
    <row r="738" spans="1:12" x14ac:dyDescent="0.25">
      <c r="A738" s="1">
        <v>44797</v>
      </c>
      <c r="B738">
        <v>225.66000366210938</v>
      </c>
      <c r="C738">
        <v>234.10000610351563</v>
      </c>
      <c r="D738">
        <v>223.94000244140625</v>
      </c>
      <c r="E738">
        <v>229.61000061035156</v>
      </c>
      <c r="F738">
        <v>229.61000061035156</v>
      </c>
      <c r="G738">
        <v>5426300</v>
      </c>
      <c r="I738" s="5">
        <f t="shared" si="28"/>
        <v>2.2283807037845479E-2</v>
      </c>
      <c r="K738" s="5">
        <f t="shared" si="29"/>
        <v>736</v>
      </c>
      <c r="L738" s="5">
        <v>4.7351924124528115E-3</v>
      </c>
    </row>
    <row r="739" spans="1:12" x14ac:dyDescent="0.25">
      <c r="A739" s="1">
        <v>44798</v>
      </c>
      <c r="B739">
        <v>230.24000549316406</v>
      </c>
      <c r="C739">
        <v>234.16000366210938</v>
      </c>
      <c r="D739">
        <v>229</v>
      </c>
      <c r="E739">
        <v>233.97999572753906</v>
      </c>
      <c r="F739">
        <v>233.97999572753906</v>
      </c>
      <c r="G739">
        <v>3766900</v>
      </c>
      <c r="I739" s="5">
        <f t="shared" si="28"/>
        <v>1.8853403197373012E-2</v>
      </c>
      <c r="K739" s="5">
        <f t="shared" si="29"/>
        <v>737</v>
      </c>
      <c r="L739" s="5">
        <v>4.7712275469701153E-3</v>
      </c>
    </row>
    <row r="740" spans="1:12" x14ac:dyDescent="0.25">
      <c r="A740" s="1">
        <v>44799</v>
      </c>
      <c r="B740">
        <v>233.6300048828125</v>
      </c>
      <c r="C740">
        <v>236.94999694824219</v>
      </c>
      <c r="D740">
        <v>223.14999389648438</v>
      </c>
      <c r="E740">
        <v>223.27999877929688</v>
      </c>
      <c r="F740">
        <v>223.27999877929688</v>
      </c>
      <c r="G740">
        <v>5349800</v>
      </c>
      <c r="I740" s="5">
        <f t="shared" si="28"/>
        <v>-4.6809039598588308E-2</v>
      </c>
      <c r="K740" s="5">
        <f t="shared" si="29"/>
        <v>738</v>
      </c>
      <c r="L740" s="5">
        <v>4.8475251536424513E-3</v>
      </c>
    </row>
    <row r="741" spans="1:12" x14ac:dyDescent="0.25">
      <c r="A741" s="1">
        <v>44802</v>
      </c>
      <c r="B741">
        <v>221.92999267578125</v>
      </c>
      <c r="C741">
        <v>229.8699951171875</v>
      </c>
      <c r="D741">
        <v>221.52000427246094</v>
      </c>
      <c r="E741">
        <v>224.57000732421875</v>
      </c>
      <c r="F741">
        <v>224.57000732421875</v>
      </c>
      <c r="G741">
        <v>7109400</v>
      </c>
      <c r="I741" s="5">
        <f t="shared" si="28"/>
        <v>5.7609114439362615E-3</v>
      </c>
      <c r="K741" s="5">
        <f t="shared" si="29"/>
        <v>739</v>
      </c>
      <c r="L741" s="5">
        <v>4.8602105905829994E-3</v>
      </c>
    </row>
    <row r="742" spans="1:12" x14ac:dyDescent="0.25">
      <c r="A742" s="1">
        <v>44803</v>
      </c>
      <c r="B742">
        <v>226.66000366210938</v>
      </c>
      <c r="C742">
        <v>229.78999328613281</v>
      </c>
      <c r="D742">
        <v>218.74000549316406</v>
      </c>
      <c r="E742">
        <v>220.64999389648438</v>
      </c>
      <c r="F742">
        <v>220.64999389648438</v>
      </c>
      <c r="G742">
        <v>5740400</v>
      </c>
      <c r="I742" s="5">
        <f t="shared" si="28"/>
        <v>-1.7609787150832376E-2</v>
      </c>
      <c r="K742" s="5">
        <f t="shared" si="29"/>
        <v>740</v>
      </c>
      <c r="L742" s="5">
        <v>4.8643242543393176E-3</v>
      </c>
    </row>
    <row r="743" spans="1:12" x14ac:dyDescent="0.25">
      <c r="A743" s="1">
        <v>44804</v>
      </c>
      <c r="B743">
        <v>227</v>
      </c>
      <c r="C743">
        <v>233.8800048828125</v>
      </c>
      <c r="D743">
        <v>223.42999267578125</v>
      </c>
      <c r="E743">
        <v>223.55999755859375</v>
      </c>
      <c r="F743">
        <v>223.55999755859375</v>
      </c>
      <c r="G743">
        <v>8615900</v>
      </c>
      <c r="I743" s="5">
        <f t="shared" si="28"/>
        <v>1.3102115426880924E-2</v>
      </c>
      <c r="K743" s="5">
        <f t="shared" si="29"/>
        <v>741</v>
      </c>
      <c r="L743" s="5">
        <v>4.8675869422715552E-3</v>
      </c>
    </row>
    <row r="744" spans="1:12" x14ac:dyDescent="0.25">
      <c r="A744" s="1">
        <v>44805</v>
      </c>
      <c r="B744">
        <v>220.72000122070313</v>
      </c>
      <c r="C744">
        <v>230.3699951171875</v>
      </c>
      <c r="D744">
        <v>219.47000122070313</v>
      </c>
      <c r="E744">
        <v>230.03999328613281</v>
      </c>
      <c r="F744">
        <v>230.03999328613281</v>
      </c>
      <c r="G744">
        <v>7292900</v>
      </c>
      <c r="I744" s="5">
        <f t="shared" si="28"/>
        <v>2.8573354178990658E-2</v>
      </c>
      <c r="K744" s="5">
        <f t="shared" si="29"/>
        <v>742</v>
      </c>
      <c r="L744" s="5">
        <v>4.8842286579362515E-3</v>
      </c>
    </row>
    <row r="745" spans="1:12" x14ac:dyDescent="0.25">
      <c r="A745" s="1">
        <v>44806</v>
      </c>
      <c r="B745">
        <v>231.02999877929688</v>
      </c>
      <c r="C745">
        <v>233.8800048828125</v>
      </c>
      <c r="D745">
        <v>225.03999328613281</v>
      </c>
      <c r="E745">
        <v>226.11000061035156</v>
      </c>
      <c r="F745">
        <v>226.11000061035156</v>
      </c>
      <c r="G745">
        <v>8164900</v>
      </c>
      <c r="I745" s="5">
        <f t="shared" si="28"/>
        <v>-1.7231568437056827E-2</v>
      </c>
      <c r="K745" s="5">
        <f t="shared" si="29"/>
        <v>743</v>
      </c>
      <c r="L745" s="5">
        <v>4.9105647413924284E-3</v>
      </c>
    </row>
    <row r="746" spans="1:12" x14ac:dyDescent="0.25">
      <c r="A746" s="1">
        <v>44810</v>
      </c>
      <c r="B746">
        <v>225.58999633789063</v>
      </c>
      <c r="C746">
        <v>226.85000610351563</v>
      </c>
      <c r="D746">
        <v>214.69000244140625</v>
      </c>
      <c r="E746">
        <v>218.38999938964844</v>
      </c>
      <c r="F746">
        <v>218.38999938964844</v>
      </c>
      <c r="G746">
        <v>7469000</v>
      </c>
      <c r="I746" s="5">
        <f t="shared" si="28"/>
        <v>-3.4739156740942218E-2</v>
      </c>
      <c r="K746" s="5">
        <f t="shared" si="29"/>
        <v>744</v>
      </c>
      <c r="L746" s="5">
        <v>4.9827811021002375E-3</v>
      </c>
    </row>
    <row r="747" spans="1:12" x14ac:dyDescent="0.25">
      <c r="A747" s="1">
        <v>44811</v>
      </c>
      <c r="B747">
        <v>220.21000671386719</v>
      </c>
      <c r="C747">
        <v>229.33000183105469</v>
      </c>
      <c r="D747">
        <v>218.27000427246094</v>
      </c>
      <c r="E747">
        <v>228.96000671386719</v>
      </c>
      <c r="F747">
        <v>228.96000671386719</v>
      </c>
      <c r="G747">
        <v>8149300</v>
      </c>
      <c r="I747" s="5">
        <f t="shared" si="28"/>
        <v>4.7264892649556904E-2</v>
      </c>
      <c r="K747" s="5">
        <f t="shared" si="29"/>
        <v>745</v>
      </c>
      <c r="L747" s="5">
        <v>5.0542493432745202E-3</v>
      </c>
    </row>
    <row r="748" spans="1:12" x14ac:dyDescent="0.25">
      <c r="A748" s="1">
        <v>44812</v>
      </c>
      <c r="B748">
        <v>224.16000366210938</v>
      </c>
      <c r="C748">
        <v>228.74000549316406</v>
      </c>
      <c r="D748">
        <v>221.30000305175781</v>
      </c>
      <c r="E748">
        <v>227.44000244140625</v>
      </c>
      <c r="F748">
        <v>227.44000244140625</v>
      </c>
      <c r="G748">
        <v>6737400</v>
      </c>
      <c r="I748" s="5">
        <f t="shared" si="28"/>
        <v>-6.6608670544282622E-3</v>
      </c>
      <c r="K748" s="5">
        <f t="shared" si="29"/>
        <v>746</v>
      </c>
      <c r="L748" s="5">
        <v>5.2136430903246883E-3</v>
      </c>
    </row>
    <row r="749" spans="1:12" x14ac:dyDescent="0.25">
      <c r="A749" s="1">
        <v>44813</v>
      </c>
      <c r="B749">
        <v>229.6199951171875</v>
      </c>
      <c r="C749">
        <v>234.77999877929688</v>
      </c>
      <c r="D749">
        <v>229.6199951171875</v>
      </c>
      <c r="E749">
        <v>233.57000732421875</v>
      </c>
      <c r="F749">
        <v>233.57000732421875</v>
      </c>
      <c r="G749">
        <v>6699600</v>
      </c>
      <c r="I749" s="5">
        <f t="shared" si="28"/>
        <v>2.6595371330056836E-2</v>
      </c>
      <c r="K749" s="5">
        <f t="shared" si="29"/>
        <v>747</v>
      </c>
      <c r="L749" s="5">
        <v>5.2347845895036153E-3</v>
      </c>
    </row>
    <row r="750" spans="1:12" x14ac:dyDescent="0.25">
      <c r="A750" s="1">
        <v>44816</v>
      </c>
      <c r="B750">
        <v>233.61000061035156</v>
      </c>
      <c r="C750">
        <v>239.49000549316406</v>
      </c>
      <c r="D750">
        <v>233.3699951171875</v>
      </c>
      <c r="E750">
        <v>236.52999877929688</v>
      </c>
      <c r="F750">
        <v>236.52999877929688</v>
      </c>
      <c r="G750">
        <v>6047400</v>
      </c>
      <c r="I750" s="5">
        <f t="shared" si="28"/>
        <v>1.2593195213543126E-2</v>
      </c>
      <c r="K750" s="5">
        <f t="shared" si="29"/>
        <v>748</v>
      </c>
      <c r="L750" s="5">
        <v>5.3022659230451685E-3</v>
      </c>
    </row>
    <row r="751" spans="1:12" x14ac:dyDescent="0.25">
      <c r="A751" s="1">
        <v>44817</v>
      </c>
      <c r="B751">
        <v>226.5</v>
      </c>
      <c r="C751">
        <v>227.69000244140625</v>
      </c>
      <c r="D751">
        <v>217.72000122070313</v>
      </c>
      <c r="E751">
        <v>218.1300048828125</v>
      </c>
      <c r="F751">
        <v>218.1300048828125</v>
      </c>
      <c r="G751">
        <v>8000100</v>
      </c>
      <c r="I751" s="5">
        <f t="shared" si="28"/>
        <v>-8.0983806905682534E-2</v>
      </c>
      <c r="K751" s="5">
        <f t="shared" si="29"/>
        <v>749</v>
      </c>
      <c r="L751" s="5">
        <v>5.3563208084620008E-3</v>
      </c>
    </row>
    <row r="752" spans="1:12" x14ac:dyDescent="0.25">
      <c r="A752" s="1">
        <v>44818</v>
      </c>
      <c r="B752">
        <v>219.82000732421875</v>
      </c>
      <c r="C752">
        <v>228</v>
      </c>
      <c r="D752">
        <v>215.80000305175781</v>
      </c>
      <c r="E752">
        <v>224.1199951171875</v>
      </c>
      <c r="F752">
        <v>224.1199951171875</v>
      </c>
      <c r="G752">
        <v>8230300</v>
      </c>
      <c r="I752" s="5">
        <f t="shared" si="28"/>
        <v>2.7090363195536232E-2</v>
      </c>
      <c r="K752" s="5">
        <f t="shared" si="29"/>
        <v>750</v>
      </c>
      <c r="L752" s="5">
        <v>5.4895881137652968E-3</v>
      </c>
    </row>
    <row r="753" spans="1:12" x14ac:dyDescent="0.25">
      <c r="A753" s="1">
        <v>44819</v>
      </c>
      <c r="B753">
        <v>230.47000122070313</v>
      </c>
      <c r="C753">
        <v>242.28999328613281</v>
      </c>
      <c r="D753">
        <v>229.10000610351563</v>
      </c>
      <c r="E753">
        <v>235.3800048828125</v>
      </c>
      <c r="F753">
        <v>235.3800048828125</v>
      </c>
      <c r="G753">
        <v>19454100</v>
      </c>
      <c r="I753" s="5">
        <f t="shared" si="28"/>
        <v>4.9019649283412528E-2</v>
      </c>
      <c r="K753" s="5">
        <f t="shared" si="29"/>
        <v>751</v>
      </c>
      <c r="L753" s="5">
        <v>5.4958136824391629E-3</v>
      </c>
    </row>
    <row r="754" spans="1:12" x14ac:dyDescent="0.25">
      <c r="A754" s="1">
        <v>44820</v>
      </c>
      <c r="B754">
        <v>231.22000122070313</v>
      </c>
      <c r="C754">
        <v>241.36000061035156</v>
      </c>
      <c r="D754">
        <v>227.83000183105469</v>
      </c>
      <c r="E754">
        <v>240.1300048828125</v>
      </c>
      <c r="F754">
        <v>240.1300048828125</v>
      </c>
      <c r="G754">
        <v>18914200</v>
      </c>
      <c r="I754" s="5">
        <f t="shared" si="28"/>
        <v>1.9979213500363215E-2</v>
      </c>
      <c r="K754" s="5">
        <f t="shared" si="29"/>
        <v>752</v>
      </c>
      <c r="L754" s="5">
        <v>5.6791346397148217E-3</v>
      </c>
    </row>
    <row r="755" spans="1:12" x14ac:dyDescent="0.25">
      <c r="A755" s="1">
        <v>44823</v>
      </c>
      <c r="B755">
        <v>245.05000305175781</v>
      </c>
      <c r="C755">
        <v>245.25</v>
      </c>
      <c r="D755">
        <v>235.75</v>
      </c>
      <c r="E755">
        <v>243.6300048828125</v>
      </c>
      <c r="F755">
        <v>243.6300048828125</v>
      </c>
      <c r="G755">
        <v>17912400</v>
      </c>
      <c r="I755" s="5">
        <f t="shared" si="28"/>
        <v>1.4470237310086455E-2</v>
      </c>
      <c r="K755" s="5">
        <f t="shared" si="29"/>
        <v>753</v>
      </c>
      <c r="L755" s="5">
        <v>5.6880993941982689E-3</v>
      </c>
    </row>
    <row r="756" spans="1:12" x14ac:dyDescent="0.25">
      <c r="A756" s="1">
        <v>44824</v>
      </c>
      <c r="B756">
        <v>240.3699951171875</v>
      </c>
      <c r="C756">
        <v>250.49000549316406</v>
      </c>
      <c r="D756">
        <v>239.66000366210938</v>
      </c>
      <c r="E756">
        <v>242.85000610351563</v>
      </c>
      <c r="F756">
        <v>242.85000610351563</v>
      </c>
      <c r="G756">
        <v>16037400</v>
      </c>
      <c r="I756" s="5">
        <f t="shared" si="28"/>
        <v>-3.2067070797312035E-3</v>
      </c>
      <c r="K756" s="5">
        <f t="shared" si="29"/>
        <v>754</v>
      </c>
      <c r="L756" s="5">
        <v>5.6985664866806476E-3</v>
      </c>
    </row>
    <row r="757" spans="1:12" x14ac:dyDescent="0.25">
      <c r="A757" s="1">
        <v>44825</v>
      </c>
      <c r="B757">
        <v>242.66999816894531</v>
      </c>
      <c r="C757">
        <v>248.30000305175781</v>
      </c>
      <c r="D757">
        <v>236.67999267578125</v>
      </c>
      <c r="E757">
        <v>236.8699951171875</v>
      </c>
      <c r="F757">
        <v>236.8699951171875</v>
      </c>
      <c r="G757">
        <v>9166800</v>
      </c>
      <c r="I757" s="5">
        <f t="shared" si="28"/>
        <v>-2.4932547104017155E-2</v>
      </c>
      <c r="K757" s="5">
        <f t="shared" si="29"/>
        <v>755</v>
      </c>
      <c r="L757" s="5">
        <v>5.7091537755951513E-3</v>
      </c>
    </row>
    <row r="758" spans="1:12" x14ac:dyDescent="0.25">
      <c r="A758" s="1">
        <v>44826</v>
      </c>
      <c r="B758">
        <v>235.35000610351563</v>
      </c>
      <c r="C758">
        <v>240.5</v>
      </c>
      <c r="D758">
        <v>231.66000366210938</v>
      </c>
      <c r="E758">
        <v>237.05000305175781</v>
      </c>
      <c r="F758">
        <v>237.05000305175781</v>
      </c>
      <c r="G758">
        <v>10018000</v>
      </c>
      <c r="I758" s="5">
        <f t="shared" si="28"/>
        <v>7.5965540142779371E-4</v>
      </c>
      <c r="K758" s="5">
        <f t="shared" si="29"/>
        <v>756</v>
      </c>
      <c r="L758" s="5">
        <v>5.7096928985218452E-3</v>
      </c>
    </row>
    <row r="759" spans="1:12" x14ac:dyDescent="0.25">
      <c r="A759" s="1">
        <v>44827</v>
      </c>
      <c r="B759">
        <v>235.13999938964844</v>
      </c>
      <c r="C759">
        <v>236.44999694824219</v>
      </c>
      <c r="D759">
        <v>221.42999267578125</v>
      </c>
      <c r="E759">
        <v>226.41000366210938</v>
      </c>
      <c r="F759">
        <v>226.41000366210938</v>
      </c>
      <c r="G759">
        <v>11207200</v>
      </c>
      <c r="I759" s="5">
        <f t="shared" si="28"/>
        <v>-4.5923571082459605E-2</v>
      </c>
      <c r="K759" s="5">
        <f t="shared" si="29"/>
        <v>757</v>
      </c>
      <c r="L759" s="5">
        <v>5.7369404782852433E-3</v>
      </c>
    </row>
    <row r="760" spans="1:12" x14ac:dyDescent="0.25">
      <c r="A760" s="1">
        <v>44830</v>
      </c>
      <c r="B760">
        <v>225.60000610351563</v>
      </c>
      <c r="C760">
        <v>232.69999694824219</v>
      </c>
      <c r="D760">
        <v>223.00999450683594</v>
      </c>
      <c r="E760">
        <v>224.07000732421875</v>
      </c>
      <c r="F760">
        <v>224.07000732421875</v>
      </c>
      <c r="G760">
        <v>8234300</v>
      </c>
      <c r="I760" s="5">
        <f t="shared" si="28"/>
        <v>-1.0388995415292101E-2</v>
      </c>
      <c r="K760" s="5">
        <f t="shared" si="29"/>
        <v>758</v>
      </c>
      <c r="L760" s="5">
        <v>5.751323253379105E-3</v>
      </c>
    </row>
    <row r="761" spans="1:12" x14ac:dyDescent="0.25">
      <c r="A761" s="1">
        <v>44831</v>
      </c>
      <c r="B761">
        <v>228.6300048828125</v>
      </c>
      <c r="C761">
        <v>230.63999938964844</v>
      </c>
      <c r="D761">
        <v>220.72000122070313</v>
      </c>
      <c r="E761">
        <v>224.36000061035156</v>
      </c>
      <c r="F761">
        <v>224.36000061035156</v>
      </c>
      <c r="G761">
        <v>7762200</v>
      </c>
      <c r="I761" s="5">
        <f t="shared" si="28"/>
        <v>1.2933716362730193E-3</v>
      </c>
      <c r="K761" s="5">
        <f t="shared" si="29"/>
        <v>759</v>
      </c>
      <c r="L761" s="5">
        <v>5.7609114439362615E-3</v>
      </c>
    </row>
    <row r="762" spans="1:12" x14ac:dyDescent="0.25">
      <c r="A762" s="1">
        <v>44832</v>
      </c>
      <c r="B762">
        <v>229.69000244140625</v>
      </c>
      <c r="C762">
        <v>246.64999389648438</v>
      </c>
      <c r="D762">
        <v>227.3800048828125</v>
      </c>
      <c r="E762">
        <v>245.19999694824219</v>
      </c>
      <c r="F762">
        <v>245.19999694824219</v>
      </c>
      <c r="G762">
        <v>17579700</v>
      </c>
      <c r="I762" s="5">
        <f t="shared" si="28"/>
        <v>8.8822284255514139E-2</v>
      </c>
      <c r="K762" s="5">
        <f t="shared" si="29"/>
        <v>760</v>
      </c>
      <c r="L762" s="5">
        <v>5.7647377173632598E-3</v>
      </c>
    </row>
    <row r="763" spans="1:12" x14ac:dyDescent="0.25">
      <c r="A763" s="1">
        <v>44833</v>
      </c>
      <c r="B763">
        <v>241.61000061035156</v>
      </c>
      <c r="C763">
        <v>246.97999572753906</v>
      </c>
      <c r="D763">
        <v>235.67999267578125</v>
      </c>
      <c r="E763">
        <v>239.71000671386719</v>
      </c>
      <c r="F763">
        <v>239.71000671386719</v>
      </c>
      <c r="G763">
        <v>18994900</v>
      </c>
      <c r="I763" s="5">
        <f t="shared" si="28"/>
        <v>-2.2644304222453605E-2</v>
      </c>
      <c r="K763" s="5">
        <f t="shared" si="29"/>
        <v>761</v>
      </c>
      <c r="L763" s="5">
        <v>5.7801121487609389E-3</v>
      </c>
    </row>
    <row r="764" spans="1:12" x14ac:dyDescent="0.25">
      <c r="A764" s="1">
        <v>44834</v>
      </c>
      <c r="B764">
        <v>237</v>
      </c>
      <c r="C764">
        <v>242.44000244140625</v>
      </c>
      <c r="D764">
        <v>233.25999450683594</v>
      </c>
      <c r="E764">
        <v>235.44000244140625</v>
      </c>
      <c r="F764">
        <v>235.44000244140625</v>
      </c>
      <c r="G764">
        <v>11848600</v>
      </c>
      <c r="I764" s="5">
        <f t="shared" si="28"/>
        <v>-1.7973773098843619E-2</v>
      </c>
      <c r="K764" s="5">
        <f t="shared" si="29"/>
        <v>762</v>
      </c>
      <c r="L764" s="5">
        <v>5.8079692230701783E-3</v>
      </c>
    </row>
    <row r="765" spans="1:12" x14ac:dyDescent="0.25">
      <c r="A765" s="1">
        <v>44837</v>
      </c>
      <c r="B765">
        <v>237.85000610351563</v>
      </c>
      <c r="C765">
        <v>241.53999328613281</v>
      </c>
      <c r="D765">
        <v>232.85000610351563</v>
      </c>
      <c r="E765">
        <v>239.03999328613281</v>
      </c>
      <c r="F765">
        <v>239.03999328613281</v>
      </c>
      <c r="G765">
        <v>8657400</v>
      </c>
      <c r="I765" s="5">
        <f t="shared" si="28"/>
        <v>1.5174759562893646E-2</v>
      </c>
      <c r="K765" s="5">
        <f t="shared" si="29"/>
        <v>763</v>
      </c>
      <c r="L765" s="5">
        <v>5.813351964664315E-3</v>
      </c>
    </row>
    <row r="766" spans="1:12" x14ac:dyDescent="0.25">
      <c r="A766" s="1">
        <v>44838</v>
      </c>
      <c r="B766">
        <v>244.83999633789063</v>
      </c>
      <c r="C766">
        <v>245.80000305175781</v>
      </c>
      <c r="D766">
        <v>233.25</v>
      </c>
      <c r="E766">
        <v>240.74000549316406</v>
      </c>
      <c r="F766">
        <v>240.74000549316406</v>
      </c>
      <c r="G766">
        <v>13925900</v>
      </c>
      <c r="I766" s="5">
        <f t="shared" si="28"/>
        <v>7.0866619117589142E-3</v>
      </c>
      <c r="K766" s="5">
        <f t="shared" si="29"/>
        <v>764</v>
      </c>
      <c r="L766" s="5">
        <v>5.8243338160367955E-3</v>
      </c>
    </row>
    <row r="767" spans="1:12" x14ac:dyDescent="0.25">
      <c r="A767" s="1">
        <v>44839</v>
      </c>
      <c r="B767">
        <v>238.75999450683594</v>
      </c>
      <c r="C767">
        <v>241.58999633789063</v>
      </c>
      <c r="D767">
        <v>227.3800048828125</v>
      </c>
      <c r="E767">
        <v>236.72999572753906</v>
      </c>
      <c r="F767">
        <v>236.72999572753906</v>
      </c>
      <c r="G767">
        <v>10825600</v>
      </c>
      <c r="I767" s="5">
        <f t="shared" si="28"/>
        <v>-1.6797302616186064E-2</v>
      </c>
      <c r="K767" s="5">
        <f t="shared" si="29"/>
        <v>765</v>
      </c>
      <c r="L767" s="5">
        <v>5.8321485463064494E-3</v>
      </c>
    </row>
    <row r="768" spans="1:12" x14ac:dyDescent="0.25">
      <c r="A768" s="1">
        <v>44840</v>
      </c>
      <c r="B768">
        <v>236.67999267578125</v>
      </c>
      <c r="C768">
        <v>244.27999877929688</v>
      </c>
      <c r="D768">
        <v>233.91000366210938</v>
      </c>
      <c r="E768">
        <v>240.02000427246094</v>
      </c>
      <c r="F768">
        <v>240.02000427246094</v>
      </c>
      <c r="G768">
        <v>9188900</v>
      </c>
      <c r="I768" s="5">
        <f t="shared" si="28"/>
        <v>1.3802037850501277E-2</v>
      </c>
      <c r="K768" s="5">
        <f t="shared" si="29"/>
        <v>766</v>
      </c>
      <c r="L768" s="5">
        <v>5.8589791421701266E-3</v>
      </c>
    </row>
    <row r="769" spans="1:12" x14ac:dyDescent="0.25">
      <c r="A769" s="1">
        <v>44841</v>
      </c>
      <c r="B769">
        <v>235.77000427246094</v>
      </c>
      <c r="C769">
        <v>237.33000183105469</v>
      </c>
      <c r="D769">
        <v>224.27999877929688</v>
      </c>
      <c r="E769">
        <v>224.75</v>
      </c>
      <c r="F769">
        <v>224.75</v>
      </c>
      <c r="G769">
        <v>9806100</v>
      </c>
      <c r="I769" s="5">
        <f t="shared" si="28"/>
        <v>-6.5733597652002693E-2</v>
      </c>
      <c r="K769" s="5">
        <f t="shared" si="29"/>
        <v>767</v>
      </c>
      <c r="L769" s="5">
        <v>5.9481531451211107E-3</v>
      </c>
    </row>
    <row r="770" spans="1:12" x14ac:dyDescent="0.25">
      <c r="A770" s="1">
        <v>44844</v>
      </c>
      <c r="B770">
        <v>225.63999938964844</v>
      </c>
      <c r="C770">
        <v>233.83000183105469</v>
      </c>
      <c r="D770">
        <v>224.22999572753906</v>
      </c>
      <c r="E770">
        <v>229.97999572753906</v>
      </c>
      <c r="F770">
        <v>229.97999572753906</v>
      </c>
      <c r="G770">
        <v>9991100</v>
      </c>
      <c r="I770" s="5">
        <f t="shared" si="28"/>
        <v>2.3003656691256313E-2</v>
      </c>
      <c r="K770" s="5">
        <f t="shared" si="29"/>
        <v>768</v>
      </c>
      <c r="L770" s="5">
        <v>5.9599224847514719E-3</v>
      </c>
    </row>
    <row r="771" spans="1:12" x14ac:dyDescent="0.25">
      <c r="A771" s="1">
        <v>44845</v>
      </c>
      <c r="B771">
        <v>226.05000305175781</v>
      </c>
      <c r="C771">
        <v>230.44000244140625</v>
      </c>
      <c r="D771">
        <v>213.69999694824219</v>
      </c>
      <c r="E771">
        <v>214.28999328613281</v>
      </c>
      <c r="F771">
        <v>214.28999328613281</v>
      </c>
      <c r="G771">
        <v>15282400</v>
      </c>
      <c r="I771" s="5">
        <f t="shared" si="28"/>
        <v>-7.0662123538749302E-2</v>
      </c>
      <c r="K771" s="5">
        <f t="shared" si="29"/>
        <v>769</v>
      </c>
      <c r="L771" s="5">
        <v>5.9915330923065837E-3</v>
      </c>
    </row>
    <row r="772" spans="1:12" x14ac:dyDescent="0.25">
      <c r="A772" s="1">
        <v>44846</v>
      </c>
      <c r="B772">
        <v>214.30000305175781</v>
      </c>
      <c r="C772">
        <v>223.66999816894531</v>
      </c>
      <c r="D772">
        <v>212.63999938964844</v>
      </c>
      <c r="E772">
        <v>220.8699951171875</v>
      </c>
      <c r="F772">
        <v>220.8699951171875</v>
      </c>
      <c r="G772">
        <v>12952600</v>
      </c>
      <c r="I772" s="5">
        <f t="shared" ref="I772:I835" si="30">LN(F772/F771)</f>
        <v>3.0244064533962091E-2</v>
      </c>
      <c r="K772" s="5">
        <f t="shared" ref="K772:K835" si="31">_xlfn.RANK.AVG(L772,_xlfn.ANCHORARRAY($L$3),1)</f>
        <v>770</v>
      </c>
      <c r="L772" s="5">
        <v>6.0091455787618575E-3</v>
      </c>
    </row>
    <row r="773" spans="1:12" x14ac:dyDescent="0.25">
      <c r="A773" s="1">
        <v>44847</v>
      </c>
      <c r="B773">
        <v>212.69000244140625</v>
      </c>
      <c r="C773">
        <v>234.47000122070313</v>
      </c>
      <c r="D773">
        <v>211.72999572753906</v>
      </c>
      <c r="E773">
        <v>232.50999450683594</v>
      </c>
      <c r="F773">
        <v>232.50999450683594</v>
      </c>
      <c r="G773">
        <v>17505000</v>
      </c>
      <c r="I773" s="5">
        <f t="shared" si="30"/>
        <v>5.1358940191468229E-2</v>
      </c>
      <c r="K773" s="5">
        <f t="shared" si="31"/>
        <v>771</v>
      </c>
      <c r="L773" s="5">
        <v>6.1031999778021076E-3</v>
      </c>
    </row>
    <row r="774" spans="1:12" x14ac:dyDescent="0.25">
      <c r="A774" s="1">
        <v>44848</v>
      </c>
      <c r="B774">
        <v>237.80000305175781</v>
      </c>
      <c r="C774">
        <v>238.80000305175781</v>
      </c>
      <c r="D774">
        <v>229.50999450683594</v>
      </c>
      <c r="E774">
        <v>230</v>
      </c>
      <c r="F774">
        <v>230</v>
      </c>
      <c r="G774">
        <v>15293400</v>
      </c>
      <c r="I774" s="5">
        <f t="shared" si="30"/>
        <v>-1.0853902306471727E-2</v>
      </c>
      <c r="K774" s="5">
        <f t="shared" si="31"/>
        <v>772</v>
      </c>
      <c r="L774" s="5">
        <v>6.1335275996760629E-3</v>
      </c>
    </row>
    <row r="775" spans="1:12" x14ac:dyDescent="0.25">
      <c r="A775" s="1">
        <v>44851</v>
      </c>
      <c r="B775">
        <v>234.41000366210938</v>
      </c>
      <c r="C775">
        <v>249.91999816894531</v>
      </c>
      <c r="D775">
        <v>234.39999389648438</v>
      </c>
      <c r="E775">
        <v>245.10000610351563</v>
      </c>
      <c r="F775">
        <v>245.10000610351563</v>
      </c>
      <c r="G775">
        <v>21057800</v>
      </c>
      <c r="I775" s="5">
        <f t="shared" si="30"/>
        <v>6.3587006513015729E-2</v>
      </c>
      <c r="K775" s="5">
        <f t="shared" si="31"/>
        <v>773</v>
      </c>
      <c r="L775" s="5">
        <v>6.153517133109865E-3</v>
      </c>
    </row>
    <row r="776" spans="1:12" x14ac:dyDescent="0.25">
      <c r="A776" s="1">
        <v>44852</v>
      </c>
      <c r="B776">
        <v>249.80000305175781</v>
      </c>
      <c r="C776">
        <v>250.3699951171875</v>
      </c>
      <c r="D776">
        <v>237.72999572753906</v>
      </c>
      <c r="E776">
        <v>240.86000061035156</v>
      </c>
      <c r="F776">
        <v>240.86000061035156</v>
      </c>
      <c r="G776">
        <v>25776700</v>
      </c>
      <c r="I776" s="5">
        <f t="shared" si="30"/>
        <v>-1.7450461069826142E-2</v>
      </c>
      <c r="K776" s="5">
        <f t="shared" si="31"/>
        <v>774</v>
      </c>
      <c r="L776" s="5">
        <v>6.2084995475885536E-3</v>
      </c>
    </row>
    <row r="777" spans="1:12" x14ac:dyDescent="0.25">
      <c r="A777" s="1">
        <v>44853</v>
      </c>
      <c r="B777">
        <v>265</v>
      </c>
      <c r="C777">
        <v>279.29998779296875</v>
      </c>
      <c r="D777">
        <v>262.66000366210938</v>
      </c>
      <c r="E777">
        <v>272.3800048828125</v>
      </c>
      <c r="F777">
        <v>272.3800048828125</v>
      </c>
      <c r="G777">
        <v>46685300</v>
      </c>
      <c r="I777" s="5">
        <f t="shared" si="30"/>
        <v>0.12298231370089835</v>
      </c>
      <c r="K777" s="5">
        <f t="shared" si="31"/>
        <v>775</v>
      </c>
      <c r="L777" s="5">
        <v>6.2214819648000489E-3</v>
      </c>
    </row>
    <row r="778" spans="1:12" x14ac:dyDescent="0.25">
      <c r="A778" s="1">
        <v>44854</v>
      </c>
      <c r="B778">
        <v>272.77999877929688</v>
      </c>
      <c r="C778">
        <v>278.3800048828125</v>
      </c>
      <c r="D778">
        <v>266.3800048828125</v>
      </c>
      <c r="E778">
        <v>268.16000366210938</v>
      </c>
      <c r="F778">
        <v>268.16000366210938</v>
      </c>
      <c r="G778">
        <v>17207100</v>
      </c>
      <c r="I778" s="5">
        <f t="shared" si="30"/>
        <v>-1.5614337117131059E-2</v>
      </c>
      <c r="K778" s="5">
        <f t="shared" si="31"/>
        <v>776</v>
      </c>
      <c r="L778" s="5">
        <v>6.2523884750913371E-3</v>
      </c>
    </row>
    <row r="779" spans="1:12" x14ac:dyDescent="0.25">
      <c r="A779" s="1">
        <v>44855</v>
      </c>
      <c r="B779">
        <v>268.95001220703125</v>
      </c>
      <c r="C779">
        <v>290.75</v>
      </c>
      <c r="D779">
        <v>265.67999267578125</v>
      </c>
      <c r="E779">
        <v>289.57000732421875</v>
      </c>
      <c r="F779">
        <v>289.57000732421875</v>
      </c>
      <c r="G779">
        <v>24889100</v>
      </c>
      <c r="I779" s="5">
        <f t="shared" si="30"/>
        <v>7.6813258328683631E-2</v>
      </c>
      <c r="K779" s="5">
        <f t="shared" si="31"/>
        <v>777</v>
      </c>
      <c r="L779" s="5">
        <v>6.2642605854040592E-3</v>
      </c>
    </row>
    <row r="780" spans="1:12" x14ac:dyDescent="0.25">
      <c r="A780" s="1">
        <v>44858</v>
      </c>
      <c r="B780">
        <v>290.23001098632813</v>
      </c>
      <c r="C780">
        <v>290.489990234375</v>
      </c>
      <c r="D780">
        <v>280.3599853515625</v>
      </c>
      <c r="E780">
        <v>282.45001220703125</v>
      </c>
      <c r="F780">
        <v>282.45001220703125</v>
      </c>
      <c r="G780">
        <v>13326400</v>
      </c>
      <c r="I780" s="5">
        <f t="shared" si="30"/>
        <v>-2.4895502289186387E-2</v>
      </c>
      <c r="K780" s="5">
        <f t="shared" si="31"/>
        <v>778</v>
      </c>
      <c r="L780" s="5">
        <v>6.265981328493834E-3</v>
      </c>
    </row>
    <row r="781" spans="1:12" x14ac:dyDescent="0.25">
      <c r="A781" s="1">
        <v>44859</v>
      </c>
      <c r="B781">
        <v>286.95001220703125</v>
      </c>
      <c r="C781">
        <v>297.58999633789063</v>
      </c>
      <c r="D781">
        <v>285.54998779296875</v>
      </c>
      <c r="E781">
        <v>291.01998901367188</v>
      </c>
      <c r="F781">
        <v>291.01998901367188</v>
      </c>
      <c r="G781">
        <v>15100700</v>
      </c>
      <c r="I781" s="5">
        <f t="shared" si="30"/>
        <v>2.9890368591372143E-2</v>
      </c>
      <c r="K781" s="5">
        <f t="shared" si="31"/>
        <v>779</v>
      </c>
      <c r="L781" s="5">
        <v>6.3200791340297562E-3</v>
      </c>
    </row>
    <row r="782" spans="1:12" x14ac:dyDescent="0.25">
      <c r="A782" s="1">
        <v>44860</v>
      </c>
      <c r="B782">
        <v>290.04000854492188</v>
      </c>
      <c r="C782">
        <v>305.6300048828125</v>
      </c>
      <c r="D782">
        <v>288.04000854492188</v>
      </c>
      <c r="E782">
        <v>298.6199951171875</v>
      </c>
      <c r="F782">
        <v>298.6199951171875</v>
      </c>
      <c r="G782">
        <v>15714100</v>
      </c>
      <c r="I782" s="5">
        <f t="shared" si="30"/>
        <v>2.5779890166238689E-2</v>
      </c>
      <c r="K782" s="5">
        <f t="shared" si="31"/>
        <v>780</v>
      </c>
      <c r="L782" s="5">
        <v>6.323194493437905E-3</v>
      </c>
    </row>
    <row r="783" spans="1:12" x14ac:dyDescent="0.25">
      <c r="A783" s="1">
        <v>44861</v>
      </c>
      <c r="B783">
        <v>298.32998657226563</v>
      </c>
      <c r="C783">
        <v>305.20999145507813</v>
      </c>
      <c r="D783">
        <v>294.77999877929688</v>
      </c>
      <c r="E783">
        <v>296.94000244140625</v>
      </c>
      <c r="F783">
        <v>296.94000244140625</v>
      </c>
      <c r="G783">
        <v>14612600</v>
      </c>
      <c r="I783" s="5">
        <f t="shared" si="30"/>
        <v>-5.641739333526464E-3</v>
      </c>
      <c r="K783" s="5">
        <f t="shared" si="31"/>
        <v>781</v>
      </c>
      <c r="L783" s="5">
        <v>6.3829691772393062E-3</v>
      </c>
    </row>
    <row r="784" spans="1:12" x14ac:dyDescent="0.25">
      <c r="A784" s="1">
        <v>44862</v>
      </c>
      <c r="B784">
        <v>297.70001220703125</v>
      </c>
      <c r="C784">
        <v>301.19000244140625</v>
      </c>
      <c r="D784">
        <v>292.29000854492188</v>
      </c>
      <c r="E784">
        <v>295.72000122070313</v>
      </c>
      <c r="F784">
        <v>295.72000122070313</v>
      </c>
      <c r="G784">
        <v>9960500</v>
      </c>
      <c r="I784" s="5">
        <f t="shared" si="30"/>
        <v>-4.1170415969326328E-3</v>
      </c>
      <c r="K784" s="5">
        <f t="shared" si="31"/>
        <v>782</v>
      </c>
      <c r="L784" s="5">
        <v>6.3946180660186059E-3</v>
      </c>
    </row>
    <row r="785" spans="1:12" x14ac:dyDescent="0.25">
      <c r="A785" s="1">
        <v>44865</v>
      </c>
      <c r="B785">
        <v>295.1300048828125</v>
      </c>
      <c r="C785">
        <v>297.6199951171875</v>
      </c>
      <c r="D785">
        <v>289.5</v>
      </c>
      <c r="E785">
        <v>291.8800048828125</v>
      </c>
      <c r="F785">
        <v>291.8800048828125</v>
      </c>
      <c r="G785">
        <v>7505100</v>
      </c>
      <c r="I785" s="5">
        <f t="shared" si="30"/>
        <v>-1.3070289190546373E-2</v>
      </c>
      <c r="K785" s="5">
        <f t="shared" si="31"/>
        <v>783</v>
      </c>
      <c r="L785" s="5">
        <v>6.4011714535462359E-3</v>
      </c>
    </row>
    <row r="786" spans="1:12" x14ac:dyDescent="0.25">
      <c r="A786" s="1">
        <v>44866</v>
      </c>
      <c r="B786">
        <v>296.17001342773438</v>
      </c>
      <c r="C786">
        <v>299.70001220703125</v>
      </c>
      <c r="D786">
        <v>286.42001342773438</v>
      </c>
      <c r="E786">
        <v>286.75</v>
      </c>
      <c r="F786">
        <v>286.75</v>
      </c>
      <c r="G786">
        <v>6916400</v>
      </c>
      <c r="I786" s="5">
        <f t="shared" si="30"/>
        <v>-1.7732019616774619E-2</v>
      </c>
      <c r="K786" s="5">
        <f t="shared" si="31"/>
        <v>784</v>
      </c>
      <c r="L786" s="5">
        <v>6.4352673105260551E-3</v>
      </c>
    </row>
    <row r="787" spans="1:12" x14ac:dyDescent="0.25">
      <c r="A787" s="1">
        <v>44867</v>
      </c>
      <c r="B787">
        <v>286.39999389648438</v>
      </c>
      <c r="C787">
        <v>287.32998657226563</v>
      </c>
      <c r="D787">
        <v>272.83999633789063</v>
      </c>
      <c r="E787">
        <v>273</v>
      </c>
      <c r="F787">
        <v>273</v>
      </c>
      <c r="G787">
        <v>10367600</v>
      </c>
      <c r="I787" s="5">
        <f t="shared" si="30"/>
        <v>-4.9138960824520392E-2</v>
      </c>
      <c r="K787" s="5">
        <f t="shared" si="31"/>
        <v>785</v>
      </c>
      <c r="L787" s="5">
        <v>6.4354249429380084E-3</v>
      </c>
    </row>
    <row r="788" spans="1:12" x14ac:dyDescent="0.25">
      <c r="A788" s="1">
        <v>44868</v>
      </c>
      <c r="B788">
        <v>271.25</v>
      </c>
      <c r="C788">
        <v>276.29000854492188</v>
      </c>
      <c r="D788">
        <v>268.79998779296875</v>
      </c>
      <c r="E788">
        <v>269.05999755859375</v>
      </c>
      <c r="F788">
        <v>269.05999755859375</v>
      </c>
      <c r="G788">
        <v>7057400</v>
      </c>
      <c r="I788" s="5">
        <f t="shared" si="30"/>
        <v>-1.4537401201398733E-2</v>
      </c>
      <c r="K788" s="5">
        <f t="shared" si="31"/>
        <v>786</v>
      </c>
      <c r="L788" s="5">
        <v>6.4464437018760881E-3</v>
      </c>
    </row>
    <row r="789" spans="1:12" x14ac:dyDescent="0.25">
      <c r="A789" s="1">
        <v>44869</v>
      </c>
      <c r="B789">
        <v>272.01998901367188</v>
      </c>
      <c r="C789">
        <v>274.97000122070313</v>
      </c>
      <c r="D789">
        <v>255.32000732421875</v>
      </c>
      <c r="E789">
        <v>260.79000854492188</v>
      </c>
      <c r="F789">
        <v>260.79000854492188</v>
      </c>
      <c r="G789">
        <v>11124700</v>
      </c>
      <c r="I789" s="5">
        <f t="shared" si="30"/>
        <v>-3.1218875458951623E-2</v>
      </c>
      <c r="K789" s="5">
        <f t="shared" si="31"/>
        <v>787</v>
      </c>
      <c r="L789" s="5">
        <v>6.7351607801824243E-3</v>
      </c>
    </row>
    <row r="790" spans="1:12" x14ac:dyDescent="0.25">
      <c r="A790" s="1">
        <v>44872</v>
      </c>
      <c r="B790">
        <v>261.05999755859375</v>
      </c>
      <c r="C790">
        <v>261.14999389648438</v>
      </c>
      <c r="D790">
        <v>252.08999633789063</v>
      </c>
      <c r="E790">
        <v>258.60000610351563</v>
      </c>
      <c r="F790">
        <v>258.60000610351563</v>
      </c>
      <c r="G790">
        <v>7927000</v>
      </c>
      <c r="I790" s="5">
        <f t="shared" si="30"/>
        <v>-8.4330285847040616E-3</v>
      </c>
      <c r="K790" s="5">
        <f t="shared" si="31"/>
        <v>788</v>
      </c>
      <c r="L790" s="5">
        <v>6.7396917820716704E-3</v>
      </c>
    </row>
    <row r="791" spans="1:12" x14ac:dyDescent="0.25">
      <c r="A791" s="1">
        <v>44873</v>
      </c>
      <c r="B791">
        <v>259.92001342773438</v>
      </c>
      <c r="C791">
        <v>266.07998657226563</v>
      </c>
      <c r="D791">
        <v>256.8800048828125</v>
      </c>
      <c r="E791">
        <v>263.45999145507813</v>
      </c>
      <c r="F791">
        <v>263.45999145507813</v>
      </c>
      <c r="G791">
        <v>7683800</v>
      </c>
      <c r="I791" s="5">
        <f t="shared" si="30"/>
        <v>1.8619031428305542E-2</v>
      </c>
      <c r="K791" s="5">
        <f t="shared" si="31"/>
        <v>789</v>
      </c>
      <c r="L791" s="5">
        <v>6.8777885571332555E-3</v>
      </c>
    </row>
    <row r="792" spans="1:12" x14ac:dyDescent="0.25">
      <c r="A792" s="1">
        <v>44874</v>
      </c>
      <c r="B792">
        <v>259.66000366210938</v>
      </c>
      <c r="C792">
        <v>260.89999389648438</v>
      </c>
      <c r="D792">
        <v>254.22000122070313</v>
      </c>
      <c r="E792">
        <v>254.66000366210938</v>
      </c>
      <c r="F792">
        <v>254.66000366210938</v>
      </c>
      <c r="G792">
        <v>7266000</v>
      </c>
      <c r="I792" s="5">
        <f t="shared" si="30"/>
        <v>-3.3972184842534593E-2</v>
      </c>
      <c r="K792" s="5">
        <f t="shared" si="31"/>
        <v>790</v>
      </c>
      <c r="L792" s="5">
        <v>6.8830500245853589E-3</v>
      </c>
    </row>
    <row r="793" spans="1:12" x14ac:dyDescent="0.25">
      <c r="A793" s="1">
        <v>44875</v>
      </c>
      <c r="B793">
        <v>265.989990234375</v>
      </c>
      <c r="C793">
        <v>275.3599853515625</v>
      </c>
      <c r="D793">
        <v>260.08999633789063</v>
      </c>
      <c r="E793">
        <v>274.97000122070313</v>
      </c>
      <c r="F793">
        <v>274.97000122070313</v>
      </c>
      <c r="G793">
        <v>9667300</v>
      </c>
      <c r="I793" s="5">
        <f t="shared" si="30"/>
        <v>7.6732668720362704E-2</v>
      </c>
      <c r="K793" s="5">
        <f t="shared" si="31"/>
        <v>791</v>
      </c>
      <c r="L793" s="5">
        <v>6.9448636514223118E-3</v>
      </c>
    </row>
    <row r="794" spans="1:12" x14ac:dyDescent="0.25">
      <c r="A794" s="1">
        <v>44876</v>
      </c>
      <c r="B794">
        <v>274.47000122070313</v>
      </c>
      <c r="C794">
        <v>290.66000366210938</v>
      </c>
      <c r="D794">
        <v>271.55999755859375</v>
      </c>
      <c r="E794">
        <v>290.1300048828125</v>
      </c>
      <c r="F794">
        <v>290.1300048828125</v>
      </c>
      <c r="G794">
        <v>9573800</v>
      </c>
      <c r="I794" s="5">
        <f t="shared" si="30"/>
        <v>5.3667109980682387E-2</v>
      </c>
      <c r="K794" s="5">
        <f t="shared" si="31"/>
        <v>792</v>
      </c>
      <c r="L794" s="5">
        <v>6.9704917690295446E-3</v>
      </c>
    </row>
    <row r="795" spans="1:12" x14ac:dyDescent="0.25">
      <c r="A795" s="1">
        <v>44879</v>
      </c>
      <c r="B795">
        <v>290</v>
      </c>
      <c r="C795">
        <v>311</v>
      </c>
      <c r="D795">
        <v>288.19000244140625</v>
      </c>
      <c r="E795">
        <v>299.26998901367188</v>
      </c>
      <c r="F795">
        <v>299.26998901367188</v>
      </c>
      <c r="G795">
        <v>17978200</v>
      </c>
      <c r="I795" s="5">
        <f t="shared" si="30"/>
        <v>3.1017024018706582E-2</v>
      </c>
      <c r="K795" s="5">
        <f t="shared" si="31"/>
        <v>793</v>
      </c>
      <c r="L795" s="5">
        <v>6.9843041040534674E-3</v>
      </c>
    </row>
    <row r="796" spans="1:12" x14ac:dyDescent="0.25">
      <c r="A796" s="1">
        <v>44880</v>
      </c>
      <c r="B796">
        <v>309.20001220703125</v>
      </c>
      <c r="C796">
        <v>312.70999145507813</v>
      </c>
      <c r="D796">
        <v>302.54998779296875</v>
      </c>
      <c r="E796">
        <v>310.20001220703125</v>
      </c>
      <c r="F796">
        <v>310.20001220703125</v>
      </c>
      <c r="G796">
        <v>14626900</v>
      </c>
      <c r="I796" s="5">
        <f t="shared" si="30"/>
        <v>3.5871150849141394E-2</v>
      </c>
      <c r="K796" s="5">
        <f t="shared" si="31"/>
        <v>794</v>
      </c>
      <c r="L796" s="5">
        <v>7.0358394408043248E-3</v>
      </c>
    </row>
    <row r="797" spans="1:12" x14ac:dyDescent="0.25">
      <c r="A797" s="1">
        <v>44881</v>
      </c>
      <c r="B797">
        <v>309.94000244140625</v>
      </c>
      <c r="C797">
        <v>310.489990234375</v>
      </c>
      <c r="D797">
        <v>303.6099853515625</v>
      </c>
      <c r="E797">
        <v>306.01998901367188</v>
      </c>
      <c r="F797">
        <v>306.01998901367188</v>
      </c>
      <c r="G797">
        <v>8038600</v>
      </c>
      <c r="I797" s="5">
        <f t="shared" si="30"/>
        <v>-1.3566866701589231E-2</v>
      </c>
      <c r="K797" s="5">
        <f t="shared" si="31"/>
        <v>795</v>
      </c>
      <c r="L797" s="5">
        <v>7.0866619117589142E-3</v>
      </c>
    </row>
    <row r="798" spans="1:12" x14ac:dyDescent="0.25">
      <c r="A798" s="1">
        <v>44882</v>
      </c>
      <c r="B798">
        <v>294.72000122070313</v>
      </c>
      <c r="C798">
        <v>299.82000732421875</v>
      </c>
      <c r="D798">
        <v>291</v>
      </c>
      <c r="E798">
        <v>295.27999877929688</v>
      </c>
      <c r="F798">
        <v>295.27999877929688</v>
      </c>
      <c r="G798">
        <v>9838200</v>
      </c>
      <c r="I798" s="5">
        <f t="shared" si="30"/>
        <v>-3.572636880528985E-2</v>
      </c>
      <c r="K798" s="5">
        <f t="shared" si="31"/>
        <v>796</v>
      </c>
      <c r="L798" s="5">
        <v>7.0873644376557706E-3</v>
      </c>
    </row>
    <row r="799" spans="1:12" x14ac:dyDescent="0.25">
      <c r="A799" s="1">
        <v>44883</v>
      </c>
      <c r="B799">
        <v>297.32998657226563</v>
      </c>
      <c r="C799">
        <v>298</v>
      </c>
      <c r="D799">
        <v>287</v>
      </c>
      <c r="E799">
        <v>287.98001098632813</v>
      </c>
      <c r="F799">
        <v>287.98001098632813</v>
      </c>
      <c r="G799">
        <v>8400100</v>
      </c>
      <c r="I799" s="5">
        <f t="shared" si="30"/>
        <v>-2.5032983157944673E-2</v>
      </c>
      <c r="K799" s="5">
        <f t="shared" si="31"/>
        <v>797</v>
      </c>
      <c r="L799" s="5">
        <v>7.114011468410706E-3</v>
      </c>
    </row>
    <row r="800" spans="1:12" x14ac:dyDescent="0.25">
      <c r="A800" s="1">
        <v>44886</v>
      </c>
      <c r="B800">
        <v>291</v>
      </c>
      <c r="C800">
        <v>291.8699951171875</v>
      </c>
      <c r="D800">
        <v>282.66000366210938</v>
      </c>
      <c r="E800">
        <v>285.04998779296875</v>
      </c>
      <c r="F800">
        <v>285.04998779296875</v>
      </c>
      <c r="G800">
        <v>7256500</v>
      </c>
      <c r="I800" s="5">
        <f t="shared" si="30"/>
        <v>-1.0226510776331275E-2</v>
      </c>
      <c r="K800" s="5">
        <f t="shared" si="31"/>
        <v>798</v>
      </c>
      <c r="L800" s="5">
        <v>7.1162159757331735E-3</v>
      </c>
    </row>
    <row r="801" spans="1:12" x14ac:dyDescent="0.25">
      <c r="A801" s="1">
        <v>44887</v>
      </c>
      <c r="B801">
        <v>284.989990234375</v>
      </c>
      <c r="C801">
        <v>286.98001098632813</v>
      </c>
      <c r="D801">
        <v>277.33999633789063</v>
      </c>
      <c r="E801">
        <v>286.69000244140625</v>
      </c>
      <c r="F801">
        <v>286.69000244140625</v>
      </c>
      <c r="G801">
        <v>6245100</v>
      </c>
      <c r="I801" s="5">
        <f t="shared" si="30"/>
        <v>5.7369404782852433E-3</v>
      </c>
      <c r="K801" s="5">
        <f t="shared" si="31"/>
        <v>799</v>
      </c>
      <c r="L801" s="5">
        <v>7.2038111728659412E-3</v>
      </c>
    </row>
    <row r="802" spans="1:12" x14ac:dyDescent="0.25">
      <c r="A802" s="1">
        <v>44888</v>
      </c>
      <c r="B802">
        <v>285.91000366210938</v>
      </c>
      <c r="C802">
        <v>292.47000122070313</v>
      </c>
      <c r="D802">
        <v>283.760009765625</v>
      </c>
      <c r="E802">
        <v>291.5</v>
      </c>
      <c r="F802">
        <v>291.5</v>
      </c>
      <c r="G802">
        <v>5919000</v>
      </c>
      <c r="I802" s="5">
        <f t="shared" si="30"/>
        <v>1.6638504658847655E-2</v>
      </c>
      <c r="K802" s="5">
        <f t="shared" si="31"/>
        <v>800</v>
      </c>
      <c r="L802" s="5">
        <v>7.2395252237318908E-3</v>
      </c>
    </row>
    <row r="803" spans="1:12" x14ac:dyDescent="0.25">
      <c r="A803" s="1">
        <v>44890</v>
      </c>
      <c r="B803">
        <v>289</v>
      </c>
      <c r="C803">
        <v>289.20999145507813</v>
      </c>
      <c r="D803">
        <v>284.17001342773438</v>
      </c>
      <c r="E803">
        <v>285.54000854492188</v>
      </c>
      <c r="F803">
        <v>285.54000854492188</v>
      </c>
      <c r="G803">
        <v>3236000</v>
      </c>
      <c r="I803" s="5">
        <f t="shared" si="30"/>
        <v>-2.0657851503992377E-2</v>
      </c>
      <c r="K803" s="5">
        <f t="shared" si="31"/>
        <v>801</v>
      </c>
      <c r="L803" s="5">
        <v>7.2970968687682079E-3</v>
      </c>
    </row>
    <row r="804" spans="1:12" x14ac:dyDescent="0.25">
      <c r="A804" s="1">
        <v>44893</v>
      </c>
      <c r="B804">
        <v>284</v>
      </c>
      <c r="C804">
        <v>289.54998779296875</v>
      </c>
      <c r="D804">
        <v>280.52999877929688</v>
      </c>
      <c r="E804">
        <v>281.17001342773438</v>
      </c>
      <c r="F804">
        <v>281.17001342773438</v>
      </c>
      <c r="G804">
        <v>4703400</v>
      </c>
      <c r="I804" s="5">
        <f t="shared" si="30"/>
        <v>-1.54226379177247E-2</v>
      </c>
      <c r="K804" s="5">
        <f t="shared" si="31"/>
        <v>802</v>
      </c>
      <c r="L804" s="5">
        <v>7.3387935488522724E-3</v>
      </c>
    </row>
    <row r="805" spans="1:12" x14ac:dyDescent="0.25">
      <c r="A805" s="1">
        <v>44894</v>
      </c>
      <c r="B805">
        <v>282.5</v>
      </c>
      <c r="C805">
        <v>282.95999145507813</v>
      </c>
      <c r="D805">
        <v>275.94000244140625</v>
      </c>
      <c r="E805">
        <v>280.95999145507813</v>
      </c>
      <c r="F805">
        <v>280.95999145507813</v>
      </c>
      <c r="G805">
        <v>5786900</v>
      </c>
      <c r="I805" s="5">
        <f t="shared" si="30"/>
        <v>-7.472363353825855E-4</v>
      </c>
      <c r="K805" s="5">
        <f t="shared" si="31"/>
        <v>803</v>
      </c>
      <c r="L805" s="5">
        <v>7.4289727425543815E-3</v>
      </c>
    </row>
    <row r="806" spans="1:12" x14ac:dyDescent="0.25">
      <c r="A806" s="1">
        <v>44895</v>
      </c>
      <c r="B806">
        <v>281.3699951171875</v>
      </c>
      <c r="C806">
        <v>308.260009765625</v>
      </c>
      <c r="D806">
        <v>280.41000366210938</v>
      </c>
      <c r="E806">
        <v>305.52999877929688</v>
      </c>
      <c r="F806">
        <v>305.52999877929688</v>
      </c>
      <c r="G806">
        <v>16070100</v>
      </c>
      <c r="I806" s="5">
        <f t="shared" si="30"/>
        <v>8.3835689434235597E-2</v>
      </c>
      <c r="K806" s="5">
        <f t="shared" si="31"/>
        <v>804</v>
      </c>
      <c r="L806" s="5">
        <v>7.5818878377746056E-3</v>
      </c>
    </row>
    <row r="807" spans="1:12" x14ac:dyDescent="0.25">
      <c r="A807" s="1">
        <v>44896</v>
      </c>
      <c r="B807">
        <v>303.989990234375</v>
      </c>
      <c r="C807">
        <v>319.79998779296875</v>
      </c>
      <c r="D807">
        <v>303.02999877929688</v>
      </c>
      <c r="E807">
        <v>316.95001220703125</v>
      </c>
      <c r="F807">
        <v>316.95001220703125</v>
      </c>
      <c r="G807">
        <v>14664900</v>
      </c>
      <c r="I807" s="5">
        <f t="shared" si="30"/>
        <v>3.6696101776551568E-2</v>
      </c>
      <c r="K807" s="5">
        <f t="shared" si="31"/>
        <v>805</v>
      </c>
      <c r="L807" s="5">
        <v>7.6367761775116005E-3</v>
      </c>
    </row>
    <row r="808" spans="1:12" x14ac:dyDescent="0.25">
      <c r="A808" s="1">
        <v>44897</v>
      </c>
      <c r="B808">
        <v>310.489990234375</v>
      </c>
      <c r="C808">
        <v>321.989990234375</v>
      </c>
      <c r="D808">
        <v>310</v>
      </c>
      <c r="E808">
        <v>320.41000366210938</v>
      </c>
      <c r="F808">
        <v>320.41000366210938</v>
      </c>
      <c r="G808">
        <v>12690600</v>
      </c>
      <c r="I808" s="5">
        <f t="shared" si="30"/>
        <v>1.0857365878631994E-2</v>
      </c>
      <c r="K808" s="5">
        <f t="shared" si="31"/>
        <v>806</v>
      </c>
      <c r="L808" s="5">
        <v>7.6745412107473224E-3</v>
      </c>
    </row>
    <row r="809" spans="1:12" x14ac:dyDescent="0.25">
      <c r="A809" s="1">
        <v>44900</v>
      </c>
      <c r="B809">
        <v>316.45999145507813</v>
      </c>
      <c r="C809">
        <v>322.76998901367188</v>
      </c>
      <c r="D809">
        <v>310.92001342773438</v>
      </c>
      <c r="E809">
        <v>312.58999633789063</v>
      </c>
      <c r="F809">
        <v>312.58999633789063</v>
      </c>
      <c r="G809">
        <v>8423000</v>
      </c>
      <c r="I809" s="5">
        <f t="shared" si="30"/>
        <v>-2.4709021125825376E-2</v>
      </c>
      <c r="K809" s="5">
        <f t="shared" si="31"/>
        <v>807</v>
      </c>
      <c r="L809" s="5">
        <v>7.6831608960016094E-3</v>
      </c>
    </row>
    <row r="810" spans="1:12" x14ac:dyDescent="0.25">
      <c r="A810" s="1">
        <v>44901</v>
      </c>
      <c r="B810">
        <v>311</v>
      </c>
      <c r="C810">
        <v>313.22000122070313</v>
      </c>
      <c r="D810">
        <v>303.1300048828125</v>
      </c>
      <c r="E810">
        <v>305.55999755859375</v>
      </c>
      <c r="F810">
        <v>305.55999755859375</v>
      </c>
      <c r="G810">
        <v>7195400</v>
      </c>
      <c r="I810" s="5">
        <f t="shared" si="30"/>
        <v>-2.2746265313822744E-2</v>
      </c>
      <c r="K810" s="5">
        <f t="shared" si="31"/>
        <v>808</v>
      </c>
      <c r="L810" s="5">
        <v>7.7909246155115587E-3</v>
      </c>
    </row>
    <row r="811" spans="1:12" x14ac:dyDescent="0.25">
      <c r="A811" s="1">
        <v>44902</v>
      </c>
      <c r="B811">
        <v>306.5</v>
      </c>
      <c r="C811">
        <v>309.6099853515625</v>
      </c>
      <c r="D811">
        <v>302.10000610351563</v>
      </c>
      <c r="E811">
        <v>308.42001342773438</v>
      </c>
      <c r="F811">
        <v>308.42001342773438</v>
      </c>
      <c r="G811">
        <v>7821600</v>
      </c>
      <c r="I811" s="5">
        <f t="shared" si="30"/>
        <v>9.3163832834623848E-3</v>
      </c>
      <c r="K811" s="5">
        <f t="shared" si="31"/>
        <v>809</v>
      </c>
      <c r="L811" s="5">
        <v>7.8077640803747086E-3</v>
      </c>
    </row>
    <row r="812" spans="1:12" x14ac:dyDescent="0.25">
      <c r="A812" s="1">
        <v>44903</v>
      </c>
      <c r="B812">
        <v>309.1099853515625</v>
      </c>
      <c r="C812">
        <v>312.3800048828125</v>
      </c>
      <c r="D812">
        <v>304.80999755859375</v>
      </c>
      <c r="E812">
        <v>310.260009765625</v>
      </c>
      <c r="F812">
        <v>310.260009765625</v>
      </c>
      <c r="G812">
        <v>7205300</v>
      </c>
      <c r="I812" s="5">
        <f t="shared" si="30"/>
        <v>5.9481531451211107E-3</v>
      </c>
      <c r="K812" s="5">
        <f t="shared" si="31"/>
        <v>810</v>
      </c>
      <c r="L812" s="5">
        <v>7.8217262594085374E-3</v>
      </c>
    </row>
    <row r="813" spans="1:12" x14ac:dyDescent="0.25">
      <c r="A813" s="1">
        <v>44904</v>
      </c>
      <c r="B813">
        <v>321.45001220703125</v>
      </c>
      <c r="C813">
        <v>329</v>
      </c>
      <c r="D813">
        <v>319.51998901367188</v>
      </c>
      <c r="E813">
        <v>320.010009765625</v>
      </c>
      <c r="F813">
        <v>320.010009765625</v>
      </c>
      <c r="G813">
        <v>14364000</v>
      </c>
      <c r="I813" s="5">
        <f t="shared" si="30"/>
        <v>3.0941588710323271E-2</v>
      </c>
      <c r="K813" s="5">
        <f t="shared" si="31"/>
        <v>811</v>
      </c>
      <c r="L813" s="5">
        <v>7.8618494443099783E-3</v>
      </c>
    </row>
    <row r="814" spans="1:12" x14ac:dyDescent="0.25">
      <c r="A814" s="1">
        <v>44907</v>
      </c>
      <c r="B814">
        <v>320</v>
      </c>
      <c r="C814">
        <v>323.17999267578125</v>
      </c>
      <c r="D814">
        <v>308.85000610351563</v>
      </c>
      <c r="E814">
        <v>315.17999267578125</v>
      </c>
      <c r="F814">
        <v>315.17999267578125</v>
      </c>
      <c r="G814">
        <v>10148600</v>
      </c>
      <c r="I814" s="5">
        <f t="shared" si="30"/>
        <v>-1.520839486640943E-2</v>
      </c>
      <c r="K814" s="5">
        <f t="shared" si="31"/>
        <v>812</v>
      </c>
      <c r="L814" s="5">
        <v>8.0511197114062662E-3</v>
      </c>
    </row>
    <row r="815" spans="1:12" x14ac:dyDescent="0.25">
      <c r="A815" s="1">
        <v>44908</v>
      </c>
      <c r="B815">
        <v>328</v>
      </c>
      <c r="C815">
        <v>332.72000122070313</v>
      </c>
      <c r="D815">
        <v>317.20001220703125</v>
      </c>
      <c r="E815">
        <v>320.33999633789063</v>
      </c>
      <c r="F815">
        <v>320.33999633789063</v>
      </c>
      <c r="G815">
        <v>10756400</v>
      </c>
      <c r="I815" s="5">
        <f t="shared" si="30"/>
        <v>1.6239039352488646E-2</v>
      </c>
      <c r="K815" s="5">
        <f t="shared" si="31"/>
        <v>813</v>
      </c>
      <c r="L815" s="5">
        <v>8.0523824080428533E-3</v>
      </c>
    </row>
    <row r="816" spans="1:12" x14ac:dyDescent="0.25">
      <c r="A816" s="1">
        <v>44909</v>
      </c>
      <c r="B816">
        <v>318.97000122070313</v>
      </c>
      <c r="C816">
        <v>324.70999145507813</v>
      </c>
      <c r="D816">
        <v>314.42001342773438</v>
      </c>
      <c r="E816">
        <v>317.82998657226563</v>
      </c>
      <c r="F816">
        <v>317.82998657226563</v>
      </c>
      <c r="G816">
        <v>7543300</v>
      </c>
      <c r="I816" s="5">
        <f t="shared" si="30"/>
        <v>-7.8663139159821493E-3</v>
      </c>
      <c r="K816" s="5">
        <f t="shared" si="31"/>
        <v>814</v>
      </c>
      <c r="L816" s="5">
        <v>8.0719642431973295E-3</v>
      </c>
    </row>
    <row r="817" spans="1:12" x14ac:dyDescent="0.25">
      <c r="A817" s="1">
        <v>44910</v>
      </c>
      <c r="B817">
        <v>302.1199951171875</v>
      </c>
      <c r="C817">
        <v>303.3900146484375</v>
      </c>
      <c r="D817">
        <v>286.54998779296875</v>
      </c>
      <c r="E817">
        <v>290.41000366210938</v>
      </c>
      <c r="F817">
        <v>290.41000366210938</v>
      </c>
      <c r="G817">
        <v>17724600</v>
      </c>
      <c r="I817" s="5">
        <f t="shared" si="30"/>
        <v>-9.0222876162618121E-2</v>
      </c>
      <c r="K817" s="5">
        <f t="shared" si="31"/>
        <v>815</v>
      </c>
      <c r="L817" s="5">
        <v>8.1152942304550182E-3</v>
      </c>
    </row>
    <row r="818" spans="1:12" x14ac:dyDescent="0.25">
      <c r="A818" s="1">
        <v>44911</v>
      </c>
      <c r="B818">
        <v>288.760009765625</v>
      </c>
      <c r="C818">
        <v>294.72000122070313</v>
      </c>
      <c r="D818">
        <v>288.70001220703125</v>
      </c>
      <c r="E818">
        <v>290.70999145507813</v>
      </c>
      <c r="F818">
        <v>290.70999145507813</v>
      </c>
      <c r="G818">
        <v>14080000</v>
      </c>
      <c r="I818" s="5">
        <f t="shared" si="30"/>
        <v>1.0324470750859335E-3</v>
      </c>
      <c r="K818" s="5">
        <f t="shared" si="31"/>
        <v>816</v>
      </c>
      <c r="L818" s="5">
        <v>8.2063300502399177E-3</v>
      </c>
    </row>
    <row r="819" spans="1:12" x14ac:dyDescent="0.25">
      <c r="A819" s="1">
        <v>44914</v>
      </c>
      <c r="B819">
        <v>289.73001098632813</v>
      </c>
      <c r="C819">
        <v>292.25</v>
      </c>
      <c r="D819">
        <v>286.1300048828125</v>
      </c>
      <c r="E819">
        <v>288.29998779296875</v>
      </c>
      <c r="F819">
        <v>288.29998779296875</v>
      </c>
      <c r="G819">
        <v>6163700</v>
      </c>
      <c r="I819" s="5">
        <f t="shared" si="30"/>
        <v>-8.3246150017540071E-3</v>
      </c>
      <c r="K819" s="5">
        <f t="shared" si="31"/>
        <v>817</v>
      </c>
      <c r="L819" s="5">
        <v>8.3616473827552492E-3</v>
      </c>
    </row>
    <row r="820" spans="1:12" x14ac:dyDescent="0.25">
      <c r="A820" s="1">
        <v>44915</v>
      </c>
      <c r="B820">
        <v>281.239990234375</v>
      </c>
      <c r="C820">
        <v>289.27999877929688</v>
      </c>
      <c r="D820">
        <v>280.80999755859375</v>
      </c>
      <c r="E820">
        <v>288.19000244140625</v>
      </c>
      <c r="F820">
        <v>288.19000244140625</v>
      </c>
      <c r="G820">
        <v>6918100</v>
      </c>
      <c r="I820" s="5">
        <f t="shared" si="30"/>
        <v>-3.8156899429334128E-4</v>
      </c>
      <c r="K820" s="5">
        <f t="shared" si="31"/>
        <v>818</v>
      </c>
      <c r="L820" s="5">
        <v>8.4244196981504253E-3</v>
      </c>
    </row>
    <row r="821" spans="1:12" x14ac:dyDescent="0.25">
      <c r="A821" s="1">
        <v>44916</v>
      </c>
      <c r="B821">
        <v>289.989990234375</v>
      </c>
      <c r="C821">
        <v>300.66000366210938</v>
      </c>
      <c r="D821">
        <v>286.5</v>
      </c>
      <c r="E821">
        <v>297.95999145507813</v>
      </c>
      <c r="F821">
        <v>297.95999145507813</v>
      </c>
      <c r="G821">
        <v>6376200</v>
      </c>
      <c r="I821" s="5">
        <f t="shared" si="30"/>
        <v>3.333922732134853E-2</v>
      </c>
      <c r="K821" s="5">
        <f t="shared" si="31"/>
        <v>819</v>
      </c>
      <c r="L821" s="5">
        <v>8.4751493259348273E-3</v>
      </c>
    </row>
    <row r="822" spans="1:12" x14ac:dyDescent="0.25">
      <c r="A822" s="1">
        <v>44917</v>
      </c>
      <c r="B822">
        <v>298.08999633789063</v>
      </c>
      <c r="C822">
        <v>298.8800048828125</v>
      </c>
      <c r="D822">
        <v>290.80999755859375</v>
      </c>
      <c r="E822">
        <v>297.75</v>
      </c>
      <c r="F822">
        <v>297.75</v>
      </c>
      <c r="G822">
        <v>7856200</v>
      </c>
      <c r="I822" s="5">
        <f t="shared" si="30"/>
        <v>-7.0501239458171645E-4</v>
      </c>
      <c r="K822" s="5">
        <f t="shared" si="31"/>
        <v>820</v>
      </c>
      <c r="L822" s="5">
        <v>8.5216290960614723E-3</v>
      </c>
    </row>
    <row r="823" spans="1:12" x14ac:dyDescent="0.25">
      <c r="A823" s="1">
        <v>44918</v>
      </c>
      <c r="B823">
        <v>296.17999267578125</v>
      </c>
      <c r="C823">
        <v>298.45999145507813</v>
      </c>
      <c r="D823">
        <v>291.91000366210938</v>
      </c>
      <c r="E823">
        <v>294.95999145507813</v>
      </c>
      <c r="F823">
        <v>294.95999145507813</v>
      </c>
      <c r="G823">
        <v>4251100</v>
      </c>
      <c r="I823" s="5">
        <f t="shared" si="30"/>
        <v>-9.4144832792857746E-3</v>
      </c>
      <c r="K823" s="5">
        <f t="shared" si="31"/>
        <v>821</v>
      </c>
      <c r="L823" s="5">
        <v>8.5510813413447861E-3</v>
      </c>
    </row>
    <row r="824" spans="1:12" x14ac:dyDescent="0.25">
      <c r="A824" s="1">
        <v>44922</v>
      </c>
      <c r="B824">
        <v>293.19000244140625</v>
      </c>
      <c r="C824">
        <v>293.57000732421875</v>
      </c>
      <c r="D824">
        <v>282.1300048828125</v>
      </c>
      <c r="E824">
        <v>284.17001342773438</v>
      </c>
      <c r="F824">
        <v>284.17001342773438</v>
      </c>
      <c r="G824">
        <v>5778100</v>
      </c>
      <c r="I824" s="5">
        <f t="shared" si="30"/>
        <v>-3.7267027077612432E-2</v>
      </c>
      <c r="K824" s="5">
        <f t="shared" si="31"/>
        <v>822</v>
      </c>
      <c r="L824" s="5">
        <v>8.6221904467249817E-3</v>
      </c>
    </row>
    <row r="825" spans="1:12" x14ac:dyDescent="0.25">
      <c r="A825" s="1">
        <v>44923</v>
      </c>
      <c r="B825">
        <v>281.92001342773438</v>
      </c>
      <c r="C825">
        <v>285.19000244140625</v>
      </c>
      <c r="D825">
        <v>273.41000366210938</v>
      </c>
      <c r="E825">
        <v>276.8800048828125</v>
      </c>
      <c r="F825">
        <v>276.8800048828125</v>
      </c>
      <c r="G825">
        <v>5964400</v>
      </c>
      <c r="I825" s="5">
        <f t="shared" si="30"/>
        <v>-2.5988480916300814E-2</v>
      </c>
      <c r="K825" s="5">
        <f t="shared" si="31"/>
        <v>823</v>
      </c>
      <c r="L825" s="5">
        <v>8.6230580269025317E-3</v>
      </c>
    </row>
    <row r="826" spans="1:12" x14ac:dyDescent="0.25">
      <c r="A826" s="1">
        <v>44924</v>
      </c>
      <c r="B826">
        <v>283.17999267578125</v>
      </c>
      <c r="C826">
        <v>295.5</v>
      </c>
      <c r="D826">
        <v>281.010009765625</v>
      </c>
      <c r="E826">
        <v>291.1199951171875</v>
      </c>
      <c r="F826">
        <v>291.1199951171875</v>
      </c>
      <c r="G826">
        <v>9588500</v>
      </c>
      <c r="I826" s="5">
        <f t="shared" si="30"/>
        <v>5.0151319569186073E-2</v>
      </c>
      <c r="K826" s="5">
        <f t="shared" si="31"/>
        <v>824</v>
      </c>
      <c r="L826" s="5">
        <v>8.6852748441299272E-3</v>
      </c>
    </row>
    <row r="827" spans="1:12" x14ac:dyDescent="0.25">
      <c r="A827" s="1">
        <v>44925</v>
      </c>
      <c r="B827">
        <v>285.52999877929688</v>
      </c>
      <c r="C827">
        <v>295.010009765625</v>
      </c>
      <c r="D827">
        <v>283.22000122070313</v>
      </c>
      <c r="E827">
        <v>294.8800048828125</v>
      </c>
      <c r="F827">
        <v>294.8800048828125</v>
      </c>
      <c r="G827">
        <v>7566900</v>
      </c>
      <c r="I827" s="5">
        <f t="shared" si="30"/>
        <v>1.2832973948759081E-2</v>
      </c>
      <c r="K827" s="5">
        <f t="shared" si="31"/>
        <v>825</v>
      </c>
      <c r="L827" s="5">
        <v>8.6970309942063541E-3</v>
      </c>
    </row>
    <row r="828" spans="1:12" x14ac:dyDescent="0.25">
      <c r="A828" s="1">
        <v>44929</v>
      </c>
      <c r="B828">
        <v>298.05999755859375</v>
      </c>
      <c r="C828">
        <v>298.3900146484375</v>
      </c>
      <c r="D828">
        <v>288.70001220703125</v>
      </c>
      <c r="E828">
        <v>294.95001220703125</v>
      </c>
      <c r="F828">
        <v>294.95001220703125</v>
      </c>
      <c r="G828">
        <v>6764000</v>
      </c>
      <c r="I828" s="5">
        <f t="shared" si="30"/>
        <v>2.3738135570964126E-4</v>
      </c>
      <c r="K828" s="5">
        <f t="shared" si="31"/>
        <v>826</v>
      </c>
      <c r="L828" s="5">
        <v>8.7315392299701818E-3</v>
      </c>
    </row>
    <row r="829" spans="1:12" x14ac:dyDescent="0.25">
      <c r="A829" s="1">
        <v>44930</v>
      </c>
      <c r="B829">
        <v>298.239990234375</v>
      </c>
      <c r="C829">
        <v>311.1400146484375</v>
      </c>
      <c r="D829">
        <v>295.510009765625</v>
      </c>
      <c r="E829">
        <v>309.41000366210938</v>
      </c>
      <c r="F829">
        <v>309.41000366210938</v>
      </c>
      <c r="G829">
        <v>9345100</v>
      </c>
      <c r="I829" s="5">
        <f t="shared" si="30"/>
        <v>4.7861378237138673E-2</v>
      </c>
      <c r="K829" s="5">
        <f t="shared" si="31"/>
        <v>827</v>
      </c>
      <c r="L829" s="5">
        <v>8.7435314647104356E-3</v>
      </c>
    </row>
    <row r="830" spans="1:12" x14ac:dyDescent="0.25">
      <c r="A830" s="1">
        <v>44931</v>
      </c>
      <c r="B830">
        <v>307</v>
      </c>
      <c r="C830">
        <v>314.17999267578125</v>
      </c>
      <c r="D830">
        <v>304.54998779296875</v>
      </c>
      <c r="E830">
        <v>309.70001220703125</v>
      </c>
      <c r="F830">
        <v>309.70001220703125</v>
      </c>
      <c r="G830">
        <v>8328400</v>
      </c>
      <c r="I830" s="5">
        <f t="shared" si="30"/>
        <v>9.3685632181677594E-4</v>
      </c>
      <c r="K830" s="5">
        <f t="shared" si="31"/>
        <v>828</v>
      </c>
      <c r="L830" s="5">
        <v>8.8055941142308452E-3</v>
      </c>
    </row>
    <row r="831" spans="1:12" x14ac:dyDescent="0.25">
      <c r="A831" s="1">
        <v>44932</v>
      </c>
      <c r="B831">
        <v>311.57000732421875</v>
      </c>
      <c r="C831">
        <v>316.76998901367188</v>
      </c>
      <c r="D831">
        <v>303.69000244140625</v>
      </c>
      <c r="E831">
        <v>315.54998779296875</v>
      </c>
      <c r="F831">
        <v>315.54998779296875</v>
      </c>
      <c r="G831">
        <v>8959800</v>
      </c>
      <c r="I831" s="5">
        <f t="shared" si="30"/>
        <v>1.8712982950492112E-2</v>
      </c>
      <c r="K831" s="5">
        <f t="shared" si="31"/>
        <v>829</v>
      </c>
      <c r="L831" s="5">
        <v>8.8236987590088415E-3</v>
      </c>
    </row>
    <row r="832" spans="1:12" x14ac:dyDescent="0.25">
      <c r="A832" s="1">
        <v>44935</v>
      </c>
      <c r="B832">
        <v>316.82998657226563</v>
      </c>
      <c r="C832">
        <v>321.70001220703125</v>
      </c>
      <c r="D832">
        <v>313.22000122070313</v>
      </c>
      <c r="E832">
        <v>315.17001342773438</v>
      </c>
      <c r="F832">
        <v>315.17001342773438</v>
      </c>
      <c r="G832">
        <v>6766600</v>
      </c>
      <c r="I832" s="5">
        <f t="shared" si="30"/>
        <v>-1.2048909515104233E-3</v>
      </c>
      <c r="K832" s="5">
        <f t="shared" si="31"/>
        <v>830</v>
      </c>
      <c r="L832" s="5">
        <v>8.834738468725397E-3</v>
      </c>
    </row>
    <row r="833" spans="1:12" x14ac:dyDescent="0.25">
      <c r="A833" s="1">
        <v>44936</v>
      </c>
      <c r="B833">
        <v>311.07000732421875</v>
      </c>
      <c r="C833">
        <v>329.35000610351563</v>
      </c>
      <c r="D833">
        <v>311.07000732421875</v>
      </c>
      <c r="E833">
        <v>327.54000854492188</v>
      </c>
      <c r="F833">
        <v>327.54000854492188</v>
      </c>
      <c r="G833">
        <v>13072300</v>
      </c>
      <c r="I833" s="5">
        <f t="shared" si="30"/>
        <v>3.8497992716096718E-2</v>
      </c>
      <c r="K833" s="5">
        <f t="shared" si="31"/>
        <v>831</v>
      </c>
      <c r="L833" s="5">
        <v>8.9116606907096874E-3</v>
      </c>
    </row>
    <row r="834" spans="1:12" x14ac:dyDescent="0.25">
      <c r="A834" s="1">
        <v>44937</v>
      </c>
      <c r="B834">
        <v>326.5</v>
      </c>
      <c r="C834">
        <v>328.8800048828125</v>
      </c>
      <c r="D834">
        <v>321.35000610351563</v>
      </c>
      <c r="E834">
        <v>327.260009765625</v>
      </c>
      <c r="F834">
        <v>327.260009765625</v>
      </c>
      <c r="G834">
        <v>9579700</v>
      </c>
      <c r="I834" s="5">
        <f t="shared" si="30"/>
        <v>-8.5521926857986196E-4</v>
      </c>
      <c r="K834" s="5">
        <f t="shared" si="31"/>
        <v>832</v>
      </c>
      <c r="L834" s="5">
        <v>9.0230863480307479E-3</v>
      </c>
    </row>
    <row r="835" spans="1:12" x14ac:dyDescent="0.25">
      <c r="A835" s="1">
        <v>44938</v>
      </c>
      <c r="B835">
        <v>332.5</v>
      </c>
      <c r="C835">
        <v>332.95001220703125</v>
      </c>
      <c r="D835">
        <v>323.1400146484375</v>
      </c>
      <c r="E835">
        <v>330.1300048828125</v>
      </c>
      <c r="F835">
        <v>330.1300048828125</v>
      </c>
      <c r="G835">
        <v>10856200</v>
      </c>
      <c r="I835" s="5">
        <f t="shared" si="30"/>
        <v>8.7315392299701818E-3</v>
      </c>
      <c r="K835" s="5">
        <f t="shared" si="31"/>
        <v>833</v>
      </c>
      <c r="L835" s="5">
        <v>9.0598147587972553E-3</v>
      </c>
    </row>
    <row r="836" spans="1:12" x14ac:dyDescent="0.25">
      <c r="A836" s="1">
        <v>44939</v>
      </c>
      <c r="B836">
        <v>329.97000122070313</v>
      </c>
      <c r="C836">
        <v>336.64999389648438</v>
      </c>
      <c r="D836">
        <v>328.8900146484375</v>
      </c>
      <c r="E836">
        <v>332.82000732421875</v>
      </c>
      <c r="F836">
        <v>332.82000732421875</v>
      </c>
      <c r="G836">
        <v>8286800</v>
      </c>
      <c r="I836" s="5">
        <f t="shared" ref="I836:I899" si="32">LN(F836/F835)</f>
        <v>8.1152942304550182E-3</v>
      </c>
      <c r="K836" s="5">
        <f t="shared" ref="K836:K899" si="33">_xlfn.RANK.AVG(L836,_xlfn.ANCHORARRAY($L$3),1)</f>
        <v>834</v>
      </c>
      <c r="L836" s="5">
        <v>9.1476067726939218E-3</v>
      </c>
    </row>
    <row r="837" spans="1:12" x14ac:dyDescent="0.25">
      <c r="A837" s="1">
        <v>44943</v>
      </c>
      <c r="B837">
        <v>331.07998657226563</v>
      </c>
      <c r="C837">
        <v>332.5</v>
      </c>
      <c r="D837">
        <v>323.60000610351563</v>
      </c>
      <c r="E837">
        <v>326.22000122070313</v>
      </c>
      <c r="F837">
        <v>326.22000122070313</v>
      </c>
      <c r="G837">
        <v>9247000</v>
      </c>
      <c r="I837" s="5">
        <f t="shared" si="32"/>
        <v>-2.0029821173897122E-2</v>
      </c>
      <c r="K837" s="5">
        <f t="shared" si="33"/>
        <v>835</v>
      </c>
      <c r="L837" s="5">
        <v>9.2070324886088153E-3</v>
      </c>
    </row>
    <row r="838" spans="1:12" x14ac:dyDescent="0.25">
      <c r="A838" s="1">
        <v>44944</v>
      </c>
      <c r="B838">
        <v>326.75</v>
      </c>
      <c r="C838">
        <v>330.07998657226563</v>
      </c>
      <c r="D838">
        <v>321.25</v>
      </c>
      <c r="E838">
        <v>326.32998657226563</v>
      </c>
      <c r="F838">
        <v>326.32998657226563</v>
      </c>
      <c r="G838">
        <v>7814100</v>
      </c>
      <c r="I838" s="5">
        <f t="shared" si="32"/>
        <v>3.3709403007117864E-4</v>
      </c>
      <c r="K838" s="5">
        <f t="shared" si="33"/>
        <v>836</v>
      </c>
      <c r="L838" s="5">
        <v>9.2251356190117678E-3</v>
      </c>
    </row>
    <row r="839" spans="1:12" x14ac:dyDescent="0.25">
      <c r="A839" s="1">
        <v>44945</v>
      </c>
      <c r="B839">
        <v>322.57000732421875</v>
      </c>
      <c r="C839">
        <v>324.8900146484375</v>
      </c>
      <c r="D839">
        <v>313.3900146484375</v>
      </c>
      <c r="E839">
        <v>315.77999877929688</v>
      </c>
      <c r="F839">
        <v>315.77999877929688</v>
      </c>
      <c r="G839">
        <v>18008200</v>
      </c>
      <c r="I839" s="5">
        <f t="shared" si="32"/>
        <v>-3.2863333429851482E-2</v>
      </c>
      <c r="K839" s="5">
        <f t="shared" si="33"/>
        <v>837</v>
      </c>
      <c r="L839" s="5">
        <v>9.2518307914964508E-3</v>
      </c>
    </row>
    <row r="840" spans="1:12" x14ac:dyDescent="0.25">
      <c r="A840" s="1">
        <v>44946</v>
      </c>
      <c r="B840">
        <v>336.79000854492188</v>
      </c>
      <c r="C840">
        <v>344</v>
      </c>
      <c r="D840">
        <v>332.6300048828125</v>
      </c>
      <c r="E840">
        <v>342.5</v>
      </c>
      <c r="F840">
        <v>342.5</v>
      </c>
      <c r="G840">
        <v>28430300</v>
      </c>
      <c r="I840" s="5">
        <f t="shared" si="32"/>
        <v>8.1225892974213287E-2</v>
      </c>
      <c r="K840" s="5">
        <f t="shared" si="33"/>
        <v>838</v>
      </c>
      <c r="L840" s="5">
        <v>9.3163832834623848E-3</v>
      </c>
    </row>
    <row r="841" spans="1:12" x14ac:dyDescent="0.25">
      <c r="A841" s="1">
        <v>44949</v>
      </c>
      <c r="B841">
        <v>341.72000122070313</v>
      </c>
      <c r="C841">
        <v>362.25</v>
      </c>
      <c r="D841">
        <v>340.6300048828125</v>
      </c>
      <c r="E841">
        <v>357.42001342773438</v>
      </c>
      <c r="F841">
        <v>357.42001342773438</v>
      </c>
      <c r="G841">
        <v>15646900</v>
      </c>
      <c r="I841" s="5">
        <f t="shared" si="32"/>
        <v>4.2639940734873379E-2</v>
      </c>
      <c r="K841" s="5">
        <f t="shared" si="33"/>
        <v>839</v>
      </c>
      <c r="L841" s="5">
        <v>9.3201783227993776E-3</v>
      </c>
    </row>
    <row r="842" spans="1:12" x14ac:dyDescent="0.25">
      <c r="A842" s="1">
        <v>44950</v>
      </c>
      <c r="B842">
        <v>357.52999877929688</v>
      </c>
      <c r="C842">
        <v>365.64999389648438</v>
      </c>
      <c r="D842">
        <v>355.1400146484375</v>
      </c>
      <c r="E842">
        <v>363.82998657226563</v>
      </c>
      <c r="F842">
        <v>363.82998657226563</v>
      </c>
      <c r="G842">
        <v>11796500</v>
      </c>
      <c r="I842" s="5">
        <f t="shared" si="32"/>
        <v>1.7775090232072285E-2</v>
      </c>
      <c r="K842" s="5">
        <f t="shared" si="33"/>
        <v>840</v>
      </c>
      <c r="L842" s="5">
        <v>9.3341000337338279E-3</v>
      </c>
    </row>
    <row r="843" spans="1:12" x14ac:dyDescent="0.25">
      <c r="A843" s="1">
        <v>44951</v>
      </c>
      <c r="B843">
        <v>360.57000732421875</v>
      </c>
      <c r="C843">
        <v>368.89999389648438</v>
      </c>
      <c r="D843">
        <v>358.5</v>
      </c>
      <c r="E843">
        <v>367.95999145507813</v>
      </c>
      <c r="F843">
        <v>367.95999145507813</v>
      </c>
      <c r="G843">
        <v>7766900</v>
      </c>
      <c r="I843" s="5">
        <f t="shared" si="32"/>
        <v>1.1287524717309915E-2</v>
      </c>
      <c r="K843" s="5">
        <f t="shared" si="33"/>
        <v>841</v>
      </c>
      <c r="L843" s="5">
        <v>9.3518427572751375E-3</v>
      </c>
    </row>
    <row r="844" spans="1:12" x14ac:dyDescent="0.25">
      <c r="A844" s="1">
        <v>44952</v>
      </c>
      <c r="B844">
        <v>368.76998901367188</v>
      </c>
      <c r="C844">
        <v>369.01998901367188</v>
      </c>
      <c r="D844">
        <v>361.70001220703125</v>
      </c>
      <c r="E844">
        <v>364.8699951171875</v>
      </c>
      <c r="F844">
        <v>364.8699951171875</v>
      </c>
      <c r="G844">
        <v>8256800</v>
      </c>
      <c r="I844" s="5">
        <f t="shared" si="32"/>
        <v>-8.4331010115389297E-3</v>
      </c>
      <c r="K844" s="5">
        <f t="shared" si="33"/>
        <v>842</v>
      </c>
      <c r="L844" s="5">
        <v>9.3603978563606902E-3</v>
      </c>
    </row>
    <row r="845" spans="1:12" x14ac:dyDescent="0.25">
      <c r="A845" s="1">
        <v>44953</v>
      </c>
      <c r="B845">
        <v>363.20001220703125</v>
      </c>
      <c r="C845">
        <v>365.92001342773438</v>
      </c>
      <c r="D845">
        <v>360.58999633789063</v>
      </c>
      <c r="E845">
        <v>360.76998901367188</v>
      </c>
      <c r="F845">
        <v>360.76998901367188</v>
      </c>
      <c r="G845">
        <v>6703500</v>
      </c>
      <c r="I845" s="5">
        <f t="shared" si="32"/>
        <v>-1.1300506654763702E-2</v>
      </c>
      <c r="K845" s="5">
        <f t="shared" si="33"/>
        <v>843</v>
      </c>
      <c r="L845" s="5">
        <v>9.3700710861227068E-3</v>
      </c>
    </row>
    <row r="846" spans="1:12" x14ac:dyDescent="0.25">
      <c r="A846" s="1">
        <v>44956</v>
      </c>
      <c r="B846">
        <v>358.44000244140625</v>
      </c>
      <c r="C846">
        <v>360.95001220703125</v>
      </c>
      <c r="D846">
        <v>352.8599853515625</v>
      </c>
      <c r="E846">
        <v>353.1099853515625</v>
      </c>
      <c r="F846">
        <v>353.1099853515625</v>
      </c>
      <c r="G846">
        <v>5127600</v>
      </c>
      <c r="I846" s="5">
        <f t="shared" si="32"/>
        <v>-2.1461024081908225E-2</v>
      </c>
      <c r="K846" s="5">
        <f t="shared" si="33"/>
        <v>844</v>
      </c>
      <c r="L846" s="5">
        <v>9.4739193058427946E-3</v>
      </c>
    </row>
    <row r="847" spans="1:12" x14ac:dyDescent="0.25">
      <c r="A847" s="1">
        <v>44957</v>
      </c>
      <c r="B847">
        <v>349.98001098632813</v>
      </c>
      <c r="C847">
        <v>355.95001220703125</v>
      </c>
      <c r="D847">
        <v>348.70999145507813</v>
      </c>
      <c r="E847">
        <v>353.8599853515625</v>
      </c>
      <c r="F847">
        <v>353.8599853515625</v>
      </c>
      <c r="G847">
        <v>5660700</v>
      </c>
      <c r="I847" s="5">
        <f t="shared" si="32"/>
        <v>2.1217316503928736E-3</v>
      </c>
      <c r="K847" s="5">
        <f t="shared" si="33"/>
        <v>845</v>
      </c>
      <c r="L847" s="5">
        <v>9.5256229803285797E-3</v>
      </c>
    </row>
    <row r="848" spans="1:12" x14ac:dyDescent="0.25">
      <c r="A848" s="1">
        <v>44958</v>
      </c>
      <c r="B848">
        <v>353.8599853515625</v>
      </c>
      <c r="C848">
        <v>365.3900146484375</v>
      </c>
      <c r="D848">
        <v>349.91000366210938</v>
      </c>
      <c r="E848">
        <v>361.989990234375</v>
      </c>
      <c r="F848">
        <v>361.989990234375</v>
      </c>
      <c r="G848">
        <v>8005200</v>
      </c>
      <c r="I848" s="5">
        <f t="shared" si="32"/>
        <v>2.271524686849264E-2</v>
      </c>
      <c r="K848" s="5">
        <f t="shared" si="33"/>
        <v>846</v>
      </c>
      <c r="L848" s="5">
        <v>9.5896722908232618E-3</v>
      </c>
    </row>
    <row r="849" spans="1:12" x14ac:dyDescent="0.25">
      <c r="A849" s="1">
        <v>44959</v>
      </c>
      <c r="B849">
        <v>365.16000366210938</v>
      </c>
      <c r="C849">
        <v>368.32000732421875</v>
      </c>
      <c r="D849">
        <v>358.42999267578125</v>
      </c>
      <c r="E849">
        <v>366.8900146484375</v>
      </c>
      <c r="F849">
        <v>366.8900146484375</v>
      </c>
      <c r="G849">
        <v>7857000</v>
      </c>
      <c r="I849" s="5">
        <f t="shared" si="32"/>
        <v>1.3445555375617898E-2</v>
      </c>
      <c r="K849" s="5">
        <f t="shared" si="33"/>
        <v>847</v>
      </c>
      <c r="L849" s="5">
        <v>9.668731698724134E-3</v>
      </c>
    </row>
    <row r="850" spans="1:12" x14ac:dyDescent="0.25">
      <c r="A850" s="1">
        <v>44960</v>
      </c>
      <c r="B850">
        <v>359.07998657226563</v>
      </c>
      <c r="C850">
        <v>379.42999267578125</v>
      </c>
      <c r="D850">
        <v>359</v>
      </c>
      <c r="E850">
        <v>365.89999389648438</v>
      </c>
      <c r="F850">
        <v>365.89999389648438</v>
      </c>
      <c r="G850">
        <v>9402000</v>
      </c>
      <c r="I850" s="5">
        <f t="shared" si="32"/>
        <v>-2.7020601884971346E-3</v>
      </c>
      <c r="K850" s="5">
        <f t="shared" si="33"/>
        <v>848</v>
      </c>
      <c r="L850" s="5">
        <v>9.7649495433616267E-3</v>
      </c>
    </row>
    <row r="851" spans="1:12" x14ac:dyDescent="0.25">
      <c r="A851" s="1">
        <v>44963</v>
      </c>
      <c r="B851">
        <v>363.6400146484375</v>
      </c>
      <c r="C851">
        <v>368.45001220703125</v>
      </c>
      <c r="D851">
        <v>360.67999267578125</v>
      </c>
      <c r="E851">
        <v>361.48001098632813</v>
      </c>
      <c r="F851">
        <v>361.48001098632813</v>
      </c>
      <c r="G851">
        <v>4994900</v>
      </c>
      <c r="I851" s="5">
        <f t="shared" si="32"/>
        <v>-1.2153309917945941E-2</v>
      </c>
      <c r="K851" s="5">
        <f t="shared" si="33"/>
        <v>849</v>
      </c>
      <c r="L851" s="5">
        <v>9.7868504339838434E-3</v>
      </c>
    </row>
    <row r="852" spans="1:12" x14ac:dyDescent="0.25">
      <c r="A852" s="1">
        <v>44964</v>
      </c>
      <c r="B852">
        <v>358.510009765625</v>
      </c>
      <c r="C852">
        <v>364.17999267578125</v>
      </c>
      <c r="D852">
        <v>354.17999267578125</v>
      </c>
      <c r="E852">
        <v>362.95001220703125</v>
      </c>
      <c r="F852">
        <v>362.95001220703125</v>
      </c>
      <c r="G852">
        <v>6289400</v>
      </c>
      <c r="I852" s="5">
        <f t="shared" si="32"/>
        <v>4.0583719372817182E-3</v>
      </c>
      <c r="K852" s="5">
        <f t="shared" si="33"/>
        <v>850</v>
      </c>
      <c r="L852" s="5">
        <v>9.8269070542719994E-3</v>
      </c>
    </row>
    <row r="853" spans="1:12" x14ac:dyDescent="0.25">
      <c r="A853" s="1">
        <v>44965</v>
      </c>
      <c r="B853">
        <v>360.01998901367188</v>
      </c>
      <c r="C853">
        <v>368.19000244140625</v>
      </c>
      <c r="D853">
        <v>358.30999755859375</v>
      </c>
      <c r="E853">
        <v>366.82998657226563</v>
      </c>
      <c r="F853">
        <v>366.82998657226563</v>
      </c>
      <c r="G853">
        <v>6253200</v>
      </c>
      <c r="I853" s="5">
        <f t="shared" si="32"/>
        <v>1.0633371509929086E-2</v>
      </c>
      <c r="K853" s="5">
        <f t="shared" si="33"/>
        <v>851</v>
      </c>
      <c r="L853" s="5">
        <v>9.8562179813370711E-3</v>
      </c>
    </row>
    <row r="854" spans="1:12" x14ac:dyDescent="0.25">
      <c r="A854" s="1">
        <v>44966</v>
      </c>
      <c r="B854">
        <v>372.41000366210938</v>
      </c>
      <c r="C854">
        <v>373.82998657226563</v>
      </c>
      <c r="D854">
        <v>361.739990234375</v>
      </c>
      <c r="E854">
        <v>362.5</v>
      </c>
      <c r="F854">
        <v>362.5</v>
      </c>
      <c r="G854">
        <v>6901100</v>
      </c>
      <c r="I854" s="5">
        <f t="shared" si="32"/>
        <v>-1.1874014578866591E-2</v>
      </c>
      <c r="K854" s="5">
        <f t="shared" si="33"/>
        <v>852</v>
      </c>
      <c r="L854" s="5">
        <v>9.8572821820992699E-3</v>
      </c>
    </row>
    <row r="855" spans="1:12" x14ac:dyDescent="0.25">
      <c r="A855" s="1">
        <v>44967</v>
      </c>
      <c r="B855">
        <v>359.16000366210938</v>
      </c>
      <c r="C855">
        <v>362.1400146484375</v>
      </c>
      <c r="D855">
        <v>347.1400146484375</v>
      </c>
      <c r="E855">
        <v>347.3599853515625</v>
      </c>
      <c r="F855">
        <v>347.3599853515625</v>
      </c>
      <c r="G855">
        <v>7291100</v>
      </c>
      <c r="I855" s="5">
        <f t="shared" si="32"/>
        <v>-4.2662810335515312E-2</v>
      </c>
      <c r="K855" s="5">
        <f t="shared" si="33"/>
        <v>853</v>
      </c>
      <c r="L855" s="5">
        <v>9.9253617007974883E-3</v>
      </c>
    </row>
    <row r="856" spans="1:12" x14ac:dyDescent="0.25">
      <c r="A856" s="1">
        <v>44970</v>
      </c>
      <c r="B856">
        <v>349.5</v>
      </c>
      <c r="C856">
        <v>359.70001220703125</v>
      </c>
      <c r="D856">
        <v>344.25</v>
      </c>
      <c r="E856">
        <v>358.57000732421875</v>
      </c>
      <c r="F856">
        <v>358.57000732421875</v>
      </c>
      <c r="G856">
        <v>7134400</v>
      </c>
      <c r="I856" s="5">
        <f t="shared" si="32"/>
        <v>3.176225546580997E-2</v>
      </c>
      <c r="K856" s="5">
        <f t="shared" si="33"/>
        <v>854</v>
      </c>
      <c r="L856" s="5">
        <v>9.9395419235559189E-3</v>
      </c>
    </row>
    <row r="857" spans="1:12" x14ac:dyDescent="0.25">
      <c r="A857" s="1">
        <v>44971</v>
      </c>
      <c r="B857">
        <v>357.54998779296875</v>
      </c>
      <c r="C857">
        <v>363.75</v>
      </c>
      <c r="D857">
        <v>353.39999389648438</v>
      </c>
      <c r="E857">
        <v>359.95999145507813</v>
      </c>
      <c r="F857">
        <v>359.95999145507813</v>
      </c>
      <c r="G857">
        <v>4624800</v>
      </c>
      <c r="I857" s="5">
        <f t="shared" si="32"/>
        <v>3.8689710021917573E-3</v>
      </c>
      <c r="K857" s="5">
        <f t="shared" si="33"/>
        <v>855</v>
      </c>
      <c r="L857" s="5">
        <v>9.9534835713868362E-3</v>
      </c>
    </row>
    <row r="858" spans="1:12" x14ac:dyDescent="0.25">
      <c r="A858" s="1">
        <v>44972</v>
      </c>
      <c r="B858">
        <v>356.6300048828125</v>
      </c>
      <c r="C858">
        <v>362.8800048828125</v>
      </c>
      <c r="D858">
        <v>354.239990234375</v>
      </c>
      <c r="E858">
        <v>361.42001342773438</v>
      </c>
      <c r="F858">
        <v>361.42001342773438</v>
      </c>
      <c r="G858">
        <v>3966000</v>
      </c>
      <c r="I858" s="5">
        <f t="shared" si="32"/>
        <v>4.0478636955167679E-3</v>
      </c>
      <c r="K858" s="5">
        <f t="shared" si="33"/>
        <v>856</v>
      </c>
      <c r="L858" s="5">
        <v>9.9702199150478784E-3</v>
      </c>
    </row>
    <row r="859" spans="1:12" x14ac:dyDescent="0.25">
      <c r="A859" s="1">
        <v>44973</v>
      </c>
      <c r="B859">
        <v>355</v>
      </c>
      <c r="C859">
        <v>361.5</v>
      </c>
      <c r="D859">
        <v>350.30999755859375</v>
      </c>
      <c r="E859">
        <v>350.70999145507813</v>
      </c>
      <c r="F859">
        <v>350.70999145507813</v>
      </c>
      <c r="G859">
        <v>5215700</v>
      </c>
      <c r="I859" s="5">
        <f t="shared" si="32"/>
        <v>-3.0081107347993446E-2</v>
      </c>
      <c r="K859" s="5">
        <f t="shared" si="33"/>
        <v>857</v>
      </c>
      <c r="L859" s="5">
        <v>1.0012132528093293E-2</v>
      </c>
    </row>
    <row r="860" spans="1:12" x14ac:dyDescent="0.25">
      <c r="A860" s="1">
        <v>44974</v>
      </c>
      <c r="B860">
        <v>347.91000366210938</v>
      </c>
      <c r="C860">
        <v>349</v>
      </c>
      <c r="D860">
        <v>342.44000244140625</v>
      </c>
      <c r="E860">
        <v>347.95999145507813</v>
      </c>
      <c r="F860">
        <v>347.95999145507813</v>
      </c>
      <c r="G860">
        <v>5294700</v>
      </c>
      <c r="I860" s="5">
        <f t="shared" si="32"/>
        <v>-7.8721406925952881E-3</v>
      </c>
      <c r="K860" s="5">
        <f t="shared" si="33"/>
        <v>858</v>
      </c>
      <c r="L860" s="5">
        <v>1.0040029813458383E-2</v>
      </c>
    </row>
    <row r="861" spans="1:12" x14ac:dyDescent="0.25">
      <c r="A861" s="1">
        <v>44978</v>
      </c>
      <c r="B861">
        <v>342.85000610351563</v>
      </c>
      <c r="C861">
        <v>344.1300048828125</v>
      </c>
      <c r="D861">
        <v>336.42001342773438</v>
      </c>
      <c r="E861">
        <v>337.5</v>
      </c>
      <c r="F861">
        <v>337.5</v>
      </c>
      <c r="G861">
        <v>5710300</v>
      </c>
      <c r="I861" s="5">
        <f t="shared" si="32"/>
        <v>-3.0521995769559277E-2</v>
      </c>
      <c r="K861" s="5">
        <f t="shared" si="33"/>
        <v>859</v>
      </c>
      <c r="L861" s="5">
        <v>1.0052581945822734E-2</v>
      </c>
    </row>
    <row r="862" spans="1:12" x14ac:dyDescent="0.25">
      <c r="A862" s="1">
        <v>44979</v>
      </c>
      <c r="B862">
        <v>337.5</v>
      </c>
      <c r="C862">
        <v>341.91000366210938</v>
      </c>
      <c r="D862">
        <v>332.82000732421875</v>
      </c>
      <c r="E862">
        <v>334.8800048828125</v>
      </c>
      <c r="F862">
        <v>334.8800048828125</v>
      </c>
      <c r="G862">
        <v>4546200</v>
      </c>
      <c r="I862" s="5">
        <f t="shared" si="32"/>
        <v>-7.7932370341123837E-3</v>
      </c>
      <c r="K862" s="5">
        <f t="shared" si="33"/>
        <v>860</v>
      </c>
      <c r="L862" s="5">
        <v>1.0130184365582951E-2</v>
      </c>
    </row>
    <row r="863" spans="1:12" x14ac:dyDescent="0.25">
      <c r="A863" s="1">
        <v>44980</v>
      </c>
      <c r="B863">
        <v>331.23001098632813</v>
      </c>
      <c r="C863">
        <v>331.27999877929688</v>
      </c>
      <c r="D863">
        <v>314.29998779296875</v>
      </c>
      <c r="E863">
        <v>323.64999389648438</v>
      </c>
      <c r="F863">
        <v>323.64999389648438</v>
      </c>
      <c r="G863">
        <v>13238700</v>
      </c>
      <c r="I863" s="5">
        <f t="shared" si="32"/>
        <v>-3.4109607145336049E-2</v>
      </c>
      <c r="K863" s="5">
        <f t="shared" si="33"/>
        <v>861</v>
      </c>
      <c r="L863" s="5">
        <v>1.0131561162980106E-2</v>
      </c>
    </row>
    <row r="864" spans="1:12" x14ac:dyDescent="0.25">
      <c r="A864" s="1">
        <v>44981</v>
      </c>
      <c r="B864">
        <v>319.29998779296875</v>
      </c>
      <c r="C864">
        <v>321.5</v>
      </c>
      <c r="D864">
        <v>314.51998901367188</v>
      </c>
      <c r="E864">
        <v>317.14999389648438</v>
      </c>
      <c r="F864">
        <v>317.14999389648438</v>
      </c>
      <c r="G864">
        <v>6830700</v>
      </c>
      <c r="I864" s="5">
        <f t="shared" si="32"/>
        <v>-2.0287837298116226E-2</v>
      </c>
      <c r="K864" s="5">
        <f t="shared" si="33"/>
        <v>862</v>
      </c>
      <c r="L864" s="5">
        <v>1.0268071696046559E-2</v>
      </c>
    </row>
    <row r="865" spans="1:12" x14ac:dyDescent="0.25">
      <c r="A865" s="1">
        <v>44984</v>
      </c>
      <c r="B865">
        <v>323.8699951171875</v>
      </c>
      <c r="C865">
        <v>330</v>
      </c>
      <c r="D865">
        <v>322.1199951171875</v>
      </c>
      <c r="E865">
        <v>323.02999877929688</v>
      </c>
      <c r="F865">
        <v>323.02999877929688</v>
      </c>
      <c r="G865">
        <v>6142600</v>
      </c>
      <c r="I865" s="5">
        <f t="shared" si="32"/>
        <v>1.8370365552675873E-2</v>
      </c>
      <c r="K865" s="5">
        <f t="shared" si="33"/>
        <v>863</v>
      </c>
      <c r="L865" s="5">
        <v>1.0296017198508358E-2</v>
      </c>
    </row>
    <row r="866" spans="1:12" x14ac:dyDescent="0.25">
      <c r="A866" s="1">
        <v>44985</v>
      </c>
      <c r="B866">
        <v>323.70001220703125</v>
      </c>
      <c r="C866">
        <v>327.6199951171875</v>
      </c>
      <c r="D866">
        <v>321.17001342773438</v>
      </c>
      <c r="E866">
        <v>322.1300048828125</v>
      </c>
      <c r="F866">
        <v>322.1300048828125</v>
      </c>
      <c r="G866">
        <v>3676100</v>
      </c>
      <c r="I866" s="5">
        <f t="shared" si="32"/>
        <v>-2.7899884530175195E-3</v>
      </c>
      <c r="K866" s="5">
        <f t="shared" si="33"/>
        <v>864</v>
      </c>
      <c r="L866" s="5">
        <v>1.0314517252255505E-2</v>
      </c>
    </row>
    <row r="867" spans="1:12" x14ac:dyDescent="0.25">
      <c r="A867" s="1">
        <v>44986</v>
      </c>
      <c r="B867">
        <v>321.54998779296875</v>
      </c>
      <c r="C867">
        <v>326.60000610351563</v>
      </c>
      <c r="D867">
        <v>312.3599853515625</v>
      </c>
      <c r="E867">
        <v>313.48001098632813</v>
      </c>
      <c r="F867">
        <v>313.48001098632813</v>
      </c>
      <c r="G867">
        <v>4911300</v>
      </c>
      <c r="I867" s="5">
        <f t="shared" si="32"/>
        <v>-2.7219608703670274E-2</v>
      </c>
      <c r="K867" s="5">
        <f t="shared" si="33"/>
        <v>865</v>
      </c>
      <c r="L867" s="5">
        <v>1.0322185920197308E-2</v>
      </c>
    </row>
    <row r="868" spans="1:12" x14ac:dyDescent="0.25">
      <c r="A868" s="1">
        <v>44987</v>
      </c>
      <c r="B868">
        <v>310.95999145507813</v>
      </c>
      <c r="C868">
        <v>315.57000732421875</v>
      </c>
      <c r="D868">
        <v>310.3800048828125</v>
      </c>
      <c r="E868">
        <v>311.8800048828125</v>
      </c>
      <c r="F868">
        <v>311.8800048828125</v>
      </c>
      <c r="G868">
        <v>4911000</v>
      </c>
      <c r="I868" s="5">
        <f t="shared" si="32"/>
        <v>-5.1170831335472389E-3</v>
      </c>
      <c r="K868" s="5">
        <f t="shared" si="33"/>
        <v>866</v>
      </c>
      <c r="L868" s="5">
        <v>1.0387180075707398E-2</v>
      </c>
    </row>
    <row r="869" spans="1:12" x14ac:dyDescent="0.25">
      <c r="A869" s="1">
        <v>44988</v>
      </c>
      <c r="B869">
        <v>315.45001220703125</v>
      </c>
      <c r="C869">
        <v>317.489990234375</v>
      </c>
      <c r="D869">
        <v>310.82000732421875</v>
      </c>
      <c r="E869">
        <v>315.17999267578125</v>
      </c>
      <c r="F869">
        <v>315.17999267578125</v>
      </c>
      <c r="G869">
        <v>5953300</v>
      </c>
      <c r="I869" s="5">
        <f t="shared" si="32"/>
        <v>1.0525366858255055E-2</v>
      </c>
      <c r="K869" s="5">
        <f t="shared" si="33"/>
        <v>867</v>
      </c>
      <c r="L869" s="5">
        <v>1.0519066481732033E-2</v>
      </c>
    </row>
    <row r="870" spans="1:12" x14ac:dyDescent="0.25">
      <c r="A870" s="1">
        <v>44991</v>
      </c>
      <c r="B870">
        <v>317</v>
      </c>
      <c r="C870">
        <v>323.29998779296875</v>
      </c>
      <c r="D870">
        <v>311.83999633789063</v>
      </c>
      <c r="E870">
        <v>312.02999877929688</v>
      </c>
      <c r="F870">
        <v>312.02999877929688</v>
      </c>
      <c r="G870">
        <v>5660700</v>
      </c>
      <c r="I870" s="5">
        <f t="shared" si="32"/>
        <v>-1.0044547834698188E-2</v>
      </c>
      <c r="K870" s="5">
        <f t="shared" si="33"/>
        <v>868</v>
      </c>
      <c r="L870" s="5">
        <v>1.0525366858255055E-2</v>
      </c>
    </row>
    <row r="871" spans="1:12" x14ac:dyDescent="0.25">
      <c r="A871" s="1">
        <v>44992</v>
      </c>
      <c r="B871">
        <v>312.67999267578125</v>
      </c>
      <c r="C871">
        <v>314.29998779296875</v>
      </c>
      <c r="D871">
        <v>306.6199951171875</v>
      </c>
      <c r="E871">
        <v>308.47000122070313</v>
      </c>
      <c r="F871">
        <v>308.47000122070313</v>
      </c>
      <c r="G871">
        <v>4553100</v>
      </c>
      <c r="I871" s="5">
        <f t="shared" si="32"/>
        <v>-1.1474735279444514E-2</v>
      </c>
      <c r="K871" s="5">
        <f t="shared" si="33"/>
        <v>869</v>
      </c>
      <c r="L871" s="5">
        <v>1.0633371509929086E-2</v>
      </c>
    </row>
    <row r="872" spans="1:12" x14ac:dyDescent="0.25">
      <c r="A872" s="1">
        <v>44993</v>
      </c>
      <c r="B872">
        <v>309.29000854492188</v>
      </c>
      <c r="C872">
        <v>311.82998657226563</v>
      </c>
      <c r="D872">
        <v>305.75</v>
      </c>
      <c r="E872">
        <v>311.79000854492188</v>
      </c>
      <c r="F872">
        <v>311.79000854492188</v>
      </c>
      <c r="G872">
        <v>3479500</v>
      </c>
      <c r="I872" s="5">
        <f t="shared" si="32"/>
        <v>1.0705313832883014E-2</v>
      </c>
      <c r="K872" s="5">
        <f t="shared" si="33"/>
        <v>870</v>
      </c>
      <c r="L872" s="5">
        <v>1.0699567208463484E-2</v>
      </c>
    </row>
    <row r="873" spans="1:12" x14ac:dyDescent="0.25">
      <c r="A873" s="1">
        <v>44994</v>
      </c>
      <c r="B873">
        <v>312.07998657226563</v>
      </c>
      <c r="C873">
        <v>312.510009765625</v>
      </c>
      <c r="D873">
        <v>294.8800048828125</v>
      </c>
      <c r="E873">
        <v>297.77999877929688</v>
      </c>
      <c r="F873">
        <v>297.77999877929688</v>
      </c>
      <c r="G873">
        <v>7443400</v>
      </c>
      <c r="I873" s="5">
        <f t="shared" si="32"/>
        <v>-4.5974956946397201E-2</v>
      </c>
      <c r="K873" s="5">
        <f t="shared" si="33"/>
        <v>871</v>
      </c>
      <c r="L873" s="5">
        <v>1.0705313832883014E-2</v>
      </c>
    </row>
    <row r="874" spans="1:12" x14ac:dyDescent="0.25">
      <c r="A874" s="1">
        <v>44995</v>
      </c>
      <c r="B874">
        <v>297.89999389648438</v>
      </c>
      <c r="C874">
        <v>298.79000854492188</v>
      </c>
      <c r="D874">
        <v>289</v>
      </c>
      <c r="E874">
        <v>292.760009765625</v>
      </c>
      <c r="F874">
        <v>292.760009765625</v>
      </c>
      <c r="G874">
        <v>5759300</v>
      </c>
      <c r="I874" s="5">
        <f t="shared" si="32"/>
        <v>-1.7001760637931622E-2</v>
      </c>
      <c r="K874" s="5">
        <f t="shared" si="33"/>
        <v>872</v>
      </c>
      <c r="L874" s="5">
        <v>1.0738810284212733E-2</v>
      </c>
    </row>
    <row r="875" spans="1:12" x14ac:dyDescent="0.25">
      <c r="A875" s="1">
        <v>44998</v>
      </c>
      <c r="B875">
        <v>287.33999633789063</v>
      </c>
      <c r="C875">
        <v>299.239990234375</v>
      </c>
      <c r="D875">
        <v>285.32998657226563</v>
      </c>
      <c r="E875">
        <v>293.510009765625</v>
      </c>
      <c r="F875">
        <v>293.510009765625</v>
      </c>
      <c r="G875">
        <v>6292400</v>
      </c>
      <c r="I875" s="5">
        <f t="shared" si="32"/>
        <v>2.5585494197215134E-3</v>
      </c>
      <c r="K875" s="5">
        <f t="shared" si="33"/>
        <v>873</v>
      </c>
      <c r="L875" s="5">
        <v>1.0764701878435786E-2</v>
      </c>
    </row>
    <row r="876" spans="1:12" x14ac:dyDescent="0.25">
      <c r="A876" s="1">
        <v>44999</v>
      </c>
      <c r="B876">
        <v>295.97000122070313</v>
      </c>
      <c r="C876">
        <v>297.45001220703125</v>
      </c>
      <c r="D876">
        <v>290.30999755859375</v>
      </c>
      <c r="E876">
        <v>294.94000244140625</v>
      </c>
      <c r="F876">
        <v>294.94000244140625</v>
      </c>
      <c r="G876">
        <v>5956700</v>
      </c>
      <c r="I876" s="5">
        <f t="shared" si="32"/>
        <v>4.8602105905829994E-3</v>
      </c>
      <c r="K876" s="5">
        <f t="shared" si="33"/>
        <v>874</v>
      </c>
      <c r="L876" s="5">
        <v>1.0787193894649966E-2</v>
      </c>
    </row>
    <row r="877" spans="1:12" x14ac:dyDescent="0.25">
      <c r="A877" s="1">
        <v>45000</v>
      </c>
      <c r="B877">
        <v>292.510009765625</v>
      </c>
      <c r="C877">
        <v>306.30999755859375</v>
      </c>
      <c r="D877">
        <v>292.27999877929688</v>
      </c>
      <c r="E877">
        <v>303.79000854492188</v>
      </c>
      <c r="F877">
        <v>303.79000854492188</v>
      </c>
      <c r="G877">
        <v>9215300</v>
      </c>
      <c r="I877" s="5">
        <f t="shared" si="32"/>
        <v>2.9564747254846674E-2</v>
      </c>
      <c r="K877" s="5">
        <f t="shared" si="33"/>
        <v>875</v>
      </c>
      <c r="L877" s="5">
        <v>1.0790918595596489E-2</v>
      </c>
    </row>
    <row r="878" spans="1:12" x14ac:dyDescent="0.25">
      <c r="A878" s="1">
        <v>45001</v>
      </c>
      <c r="B878">
        <v>304.75</v>
      </c>
      <c r="C878">
        <v>316.60000610351563</v>
      </c>
      <c r="D878">
        <v>301.70999145507813</v>
      </c>
      <c r="E878">
        <v>310.05999755859375</v>
      </c>
      <c r="F878">
        <v>310.05999755859375</v>
      </c>
      <c r="G878">
        <v>7903700</v>
      </c>
      <c r="I878" s="5">
        <f t="shared" si="32"/>
        <v>2.0429117908957732E-2</v>
      </c>
      <c r="K878" s="5">
        <f t="shared" si="33"/>
        <v>876</v>
      </c>
      <c r="L878" s="5">
        <v>1.0825223500580515E-2</v>
      </c>
    </row>
    <row r="879" spans="1:12" x14ac:dyDescent="0.25">
      <c r="A879" s="1">
        <v>45002</v>
      </c>
      <c r="B879">
        <v>310.05999755859375</v>
      </c>
      <c r="C879">
        <v>310.760009765625</v>
      </c>
      <c r="D879">
        <v>300</v>
      </c>
      <c r="E879">
        <v>303.5</v>
      </c>
      <c r="F879">
        <v>303.5</v>
      </c>
      <c r="G879">
        <v>6918800</v>
      </c>
      <c r="I879" s="5">
        <f t="shared" si="32"/>
        <v>-2.1384208764683117E-2</v>
      </c>
      <c r="K879" s="5">
        <f t="shared" si="33"/>
        <v>877</v>
      </c>
      <c r="L879" s="5">
        <v>1.0857365878631994E-2</v>
      </c>
    </row>
    <row r="880" spans="1:12" x14ac:dyDescent="0.25">
      <c r="A880" s="1">
        <v>45005</v>
      </c>
      <c r="B880">
        <v>299.79000854492188</v>
      </c>
      <c r="C880">
        <v>307.5</v>
      </c>
      <c r="D880">
        <v>296</v>
      </c>
      <c r="E880">
        <v>305.1300048828125</v>
      </c>
      <c r="F880">
        <v>305.1300048828125</v>
      </c>
      <c r="G880">
        <v>5113400</v>
      </c>
      <c r="I880" s="5">
        <f t="shared" si="32"/>
        <v>5.3563208084620008E-3</v>
      </c>
      <c r="K880" s="5">
        <f t="shared" si="33"/>
        <v>878</v>
      </c>
      <c r="L880" s="5">
        <v>1.0948209464127473E-2</v>
      </c>
    </row>
    <row r="881" spans="1:12" x14ac:dyDescent="0.25">
      <c r="A881" s="1">
        <v>45006</v>
      </c>
      <c r="B881">
        <v>306.32000732421875</v>
      </c>
      <c r="C881">
        <v>307.92001342773438</v>
      </c>
      <c r="D881">
        <v>300.42999267578125</v>
      </c>
      <c r="E881">
        <v>305.79000854492188</v>
      </c>
      <c r="F881">
        <v>305.79000854492188</v>
      </c>
      <c r="G881">
        <v>4886300</v>
      </c>
      <c r="I881" s="5">
        <f t="shared" si="32"/>
        <v>2.1606884841741452E-3</v>
      </c>
      <c r="K881" s="5">
        <f t="shared" si="33"/>
        <v>879</v>
      </c>
      <c r="L881" s="5">
        <v>1.1071136121498274E-2</v>
      </c>
    </row>
    <row r="882" spans="1:12" x14ac:dyDescent="0.25">
      <c r="A882" s="1">
        <v>45007</v>
      </c>
      <c r="B882">
        <v>306.30999755859375</v>
      </c>
      <c r="C882">
        <v>306.45001220703125</v>
      </c>
      <c r="D882">
        <v>293.54000854492188</v>
      </c>
      <c r="E882">
        <v>293.89999389648438</v>
      </c>
      <c r="F882">
        <v>293.89999389648438</v>
      </c>
      <c r="G882">
        <v>5808000</v>
      </c>
      <c r="I882" s="5">
        <f t="shared" si="32"/>
        <v>-3.9659067134638563E-2</v>
      </c>
      <c r="K882" s="5">
        <f t="shared" si="33"/>
        <v>880</v>
      </c>
      <c r="L882" s="5">
        <v>1.1103475524185944E-2</v>
      </c>
    </row>
    <row r="883" spans="1:12" x14ac:dyDescent="0.25">
      <c r="A883" s="1">
        <v>45008</v>
      </c>
      <c r="B883">
        <v>304.67999267578125</v>
      </c>
      <c r="C883">
        <v>322.77999877929688</v>
      </c>
      <c r="D883">
        <v>304.1400146484375</v>
      </c>
      <c r="E883">
        <v>320.3699951171875</v>
      </c>
      <c r="F883">
        <v>320.3699951171875</v>
      </c>
      <c r="G883">
        <v>15653300</v>
      </c>
      <c r="I883" s="5">
        <f t="shared" si="32"/>
        <v>8.6237009952846513E-2</v>
      </c>
      <c r="K883" s="5">
        <f t="shared" si="33"/>
        <v>881</v>
      </c>
      <c r="L883" s="5">
        <v>1.1134118927399583E-2</v>
      </c>
    </row>
    <row r="884" spans="1:12" x14ac:dyDescent="0.25">
      <c r="A884" s="1">
        <v>45009</v>
      </c>
      <c r="B884">
        <v>320.6300048828125</v>
      </c>
      <c r="C884">
        <v>331.82998657226563</v>
      </c>
      <c r="D884">
        <v>320.6300048828125</v>
      </c>
      <c r="E884">
        <v>328.3900146484375</v>
      </c>
      <c r="F884">
        <v>328.3900146484375</v>
      </c>
      <c r="G884">
        <v>12991700</v>
      </c>
      <c r="I884" s="5">
        <f t="shared" si="32"/>
        <v>2.4725408441161254E-2</v>
      </c>
      <c r="K884" s="5">
        <f t="shared" si="33"/>
        <v>882</v>
      </c>
      <c r="L884" s="5">
        <v>1.1204273319619996E-2</v>
      </c>
    </row>
    <row r="885" spans="1:12" x14ac:dyDescent="0.25">
      <c r="A885" s="1">
        <v>45012</v>
      </c>
      <c r="B885">
        <v>327.54998779296875</v>
      </c>
      <c r="C885">
        <v>336.44000244140625</v>
      </c>
      <c r="D885">
        <v>324.41000366210938</v>
      </c>
      <c r="E885">
        <v>327.66000366210938</v>
      </c>
      <c r="F885">
        <v>327.66000366210938</v>
      </c>
      <c r="G885">
        <v>8625800</v>
      </c>
      <c r="I885" s="5">
        <f t="shared" si="32"/>
        <v>-2.2254744828878342E-3</v>
      </c>
      <c r="K885" s="5">
        <f t="shared" si="33"/>
        <v>883</v>
      </c>
      <c r="L885" s="5">
        <v>1.1244381781854013E-2</v>
      </c>
    </row>
    <row r="886" spans="1:12" x14ac:dyDescent="0.25">
      <c r="A886" s="1">
        <v>45013</v>
      </c>
      <c r="B886">
        <v>326.05999755859375</v>
      </c>
      <c r="C886">
        <v>333.32000732421875</v>
      </c>
      <c r="D886">
        <v>321.27999877929688</v>
      </c>
      <c r="E886">
        <v>323.51998901367188</v>
      </c>
      <c r="F886">
        <v>323.51998901367188</v>
      </c>
      <c r="G886">
        <v>6489400</v>
      </c>
      <c r="I886" s="5">
        <f t="shared" si="32"/>
        <v>-1.2715594695293717E-2</v>
      </c>
      <c r="K886" s="5">
        <f t="shared" si="33"/>
        <v>884</v>
      </c>
      <c r="L886" s="5">
        <v>1.1287524717309915E-2</v>
      </c>
    </row>
    <row r="887" spans="1:12" x14ac:dyDescent="0.25">
      <c r="A887" s="1">
        <v>45014</v>
      </c>
      <c r="B887">
        <v>326.29000854492188</v>
      </c>
      <c r="C887">
        <v>332.85000610351563</v>
      </c>
      <c r="D887">
        <v>325.73001098632813</v>
      </c>
      <c r="E887">
        <v>332.02999877929688</v>
      </c>
      <c r="F887">
        <v>332.02999877929688</v>
      </c>
      <c r="G887">
        <v>6287300</v>
      </c>
      <c r="I887" s="5">
        <f t="shared" si="32"/>
        <v>2.5964420730061177E-2</v>
      </c>
      <c r="K887" s="5">
        <f t="shared" si="33"/>
        <v>885</v>
      </c>
      <c r="L887" s="5">
        <v>1.1346250119093456E-2</v>
      </c>
    </row>
    <row r="888" spans="1:12" x14ac:dyDescent="0.25">
      <c r="A888" s="1">
        <v>45015</v>
      </c>
      <c r="B888">
        <v>340.26998901367188</v>
      </c>
      <c r="C888">
        <v>343.29000854492188</v>
      </c>
      <c r="D888">
        <v>335.29998779296875</v>
      </c>
      <c r="E888">
        <v>338.42999267578125</v>
      </c>
      <c r="F888">
        <v>338.42999267578125</v>
      </c>
      <c r="G888">
        <v>7131500</v>
      </c>
      <c r="I888" s="5">
        <f t="shared" si="32"/>
        <v>1.9091932039746899E-2</v>
      </c>
      <c r="K888" s="5">
        <f t="shared" si="33"/>
        <v>886</v>
      </c>
      <c r="L888" s="5">
        <v>1.1427353952521207E-2</v>
      </c>
    </row>
    <row r="889" spans="1:12" x14ac:dyDescent="0.25">
      <c r="A889" s="1">
        <v>45016</v>
      </c>
      <c r="B889">
        <v>340.04998779296875</v>
      </c>
      <c r="C889">
        <v>345.83999633789063</v>
      </c>
      <c r="D889">
        <v>337.20001220703125</v>
      </c>
      <c r="E889">
        <v>345.48001098632813</v>
      </c>
      <c r="F889">
        <v>345.48001098632813</v>
      </c>
      <c r="G889">
        <v>5610200</v>
      </c>
      <c r="I889" s="5">
        <f t="shared" si="32"/>
        <v>2.0617531569085242E-2</v>
      </c>
      <c r="K889" s="5">
        <f t="shared" si="33"/>
        <v>887</v>
      </c>
      <c r="L889" s="5">
        <v>1.1461297415966019E-2</v>
      </c>
    </row>
    <row r="890" spans="1:12" x14ac:dyDescent="0.25">
      <c r="A890" s="1">
        <v>45019</v>
      </c>
      <c r="B890">
        <v>341.82998657226563</v>
      </c>
      <c r="C890">
        <v>348.57998657226563</v>
      </c>
      <c r="D890">
        <v>340.39999389648438</v>
      </c>
      <c r="E890">
        <v>348.27999877929688</v>
      </c>
      <c r="F890">
        <v>348.27999877929688</v>
      </c>
      <c r="G890">
        <v>4413700</v>
      </c>
      <c r="I890" s="5">
        <f t="shared" si="32"/>
        <v>8.0719642431973295E-3</v>
      </c>
      <c r="K890" s="5">
        <f t="shared" si="33"/>
        <v>888</v>
      </c>
      <c r="L890" s="5">
        <v>1.154616430566326E-2</v>
      </c>
    </row>
    <row r="891" spans="1:12" x14ac:dyDescent="0.25">
      <c r="A891" s="1">
        <v>45020</v>
      </c>
      <c r="B891">
        <v>348.489990234375</v>
      </c>
      <c r="C891">
        <v>349.79998779296875</v>
      </c>
      <c r="D891">
        <v>343.95001220703125</v>
      </c>
      <c r="E891">
        <v>346.75</v>
      </c>
      <c r="F891">
        <v>346.75</v>
      </c>
      <c r="G891">
        <v>3298100</v>
      </c>
      <c r="I891" s="5">
        <f t="shared" si="32"/>
        <v>-4.4026912605263455E-3</v>
      </c>
      <c r="K891" s="5">
        <f t="shared" si="33"/>
        <v>889</v>
      </c>
      <c r="L891" s="5">
        <v>1.1570770726330223E-2</v>
      </c>
    </row>
    <row r="892" spans="1:12" x14ac:dyDescent="0.25">
      <c r="A892" s="1">
        <v>45021</v>
      </c>
      <c r="B892">
        <v>345.29998779296875</v>
      </c>
      <c r="C892">
        <v>345.42999267578125</v>
      </c>
      <c r="D892">
        <v>336.25</v>
      </c>
      <c r="E892">
        <v>342.35000610351563</v>
      </c>
      <c r="F892">
        <v>342.35000610351563</v>
      </c>
      <c r="G892">
        <v>4205500</v>
      </c>
      <c r="I892" s="5">
        <f t="shared" si="32"/>
        <v>-1.27704357995776E-2</v>
      </c>
      <c r="K892" s="5">
        <f t="shared" si="33"/>
        <v>890</v>
      </c>
      <c r="L892" s="5">
        <v>1.1586040183902616E-2</v>
      </c>
    </row>
    <row r="893" spans="1:12" x14ac:dyDescent="0.25">
      <c r="A893" s="1">
        <v>45022</v>
      </c>
      <c r="B893">
        <v>339.33999633789063</v>
      </c>
      <c r="C893">
        <v>340.48001098632813</v>
      </c>
      <c r="D893">
        <v>332.6300048828125</v>
      </c>
      <c r="E893">
        <v>339.32998657226563</v>
      </c>
      <c r="F893">
        <v>339.32998657226563</v>
      </c>
      <c r="G893">
        <v>4660500</v>
      </c>
      <c r="I893" s="5">
        <f t="shared" si="32"/>
        <v>-8.860577755279939E-3</v>
      </c>
      <c r="K893" s="5">
        <f t="shared" si="33"/>
        <v>891</v>
      </c>
      <c r="L893" s="5">
        <v>1.1655825150519099E-2</v>
      </c>
    </row>
    <row r="894" spans="1:12" x14ac:dyDescent="0.25">
      <c r="A894" s="1">
        <v>45026</v>
      </c>
      <c r="B894">
        <v>335.26998901367188</v>
      </c>
      <c r="C894">
        <v>339.8800048828125</v>
      </c>
      <c r="D894">
        <v>333.3599853515625</v>
      </c>
      <c r="E894">
        <v>338.989990234375</v>
      </c>
      <c r="F894">
        <v>338.989990234375</v>
      </c>
      <c r="G894">
        <v>2657900</v>
      </c>
      <c r="I894" s="5">
        <f t="shared" si="32"/>
        <v>-1.0024660278005748E-3</v>
      </c>
      <c r="K894" s="5">
        <f t="shared" si="33"/>
        <v>892</v>
      </c>
      <c r="L894" s="5">
        <v>1.17045208180502E-2</v>
      </c>
    </row>
    <row r="895" spans="1:12" x14ac:dyDescent="0.25">
      <c r="A895" s="1">
        <v>45027</v>
      </c>
      <c r="B895">
        <v>343.45001220703125</v>
      </c>
      <c r="C895">
        <v>347.1400146484375</v>
      </c>
      <c r="D895">
        <v>337.6400146484375</v>
      </c>
      <c r="E895">
        <v>338.20999145507813</v>
      </c>
      <c r="F895">
        <v>338.20999145507813</v>
      </c>
      <c r="G895">
        <v>4044800</v>
      </c>
      <c r="I895" s="5">
        <f t="shared" si="32"/>
        <v>-2.30360054729414E-3</v>
      </c>
      <c r="K895" s="5">
        <f t="shared" si="33"/>
        <v>893</v>
      </c>
      <c r="L895" s="5">
        <v>1.1720520159700234E-2</v>
      </c>
    </row>
    <row r="896" spans="1:12" x14ac:dyDescent="0.25">
      <c r="A896" s="1">
        <v>45028</v>
      </c>
      <c r="B896">
        <v>340.80999755859375</v>
      </c>
      <c r="C896">
        <v>342.79998779296875</v>
      </c>
      <c r="D896">
        <v>330.04000854492188</v>
      </c>
      <c r="E896">
        <v>331.02999877929688</v>
      </c>
      <c r="F896">
        <v>331.02999877929688</v>
      </c>
      <c r="G896">
        <v>3965400</v>
      </c>
      <c r="I896" s="5">
        <f t="shared" si="32"/>
        <v>-2.1457977041481602E-2</v>
      </c>
      <c r="K896" s="5">
        <f t="shared" si="33"/>
        <v>894</v>
      </c>
      <c r="L896" s="5">
        <v>1.1725190597678218E-2</v>
      </c>
    </row>
    <row r="897" spans="1:12" x14ac:dyDescent="0.25">
      <c r="A897" s="1">
        <v>45029</v>
      </c>
      <c r="B897">
        <v>339.989990234375</v>
      </c>
      <c r="C897">
        <v>346.42999267578125</v>
      </c>
      <c r="D897">
        <v>338.75</v>
      </c>
      <c r="E897">
        <v>346.19000244140625</v>
      </c>
      <c r="F897">
        <v>346.19000244140625</v>
      </c>
      <c r="G897">
        <v>7406400</v>
      </c>
      <c r="I897" s="5">
        <f t="shared" si="32"/>
        <v>4.477876231608529E-2</v>
      </c>
      <c r="K897" s="5">
        <f t="shared" si="33"/>
        <v>895</v>
      </c>
      <c r="L897" s="5">
        <v>1.1727769969238078E-2</v>
      </c>
    </row>
    <row r="898" spans="1:12" x14ac:dyDescent="0.25">
      <c r="A898" s="1">
        <v>45030</v>
      </c>
      <c r="B898">
        <v>342.94000244140625</v>
      </c>
      <c r="C898">
        <v>344.85000610351563</v>
      </c>
      <c r="D898">
        <v>336.41000366210938</v>
      </c>
      <c r="E898">
        <v>338.6300048828125</v>
      </c>
      <c r="F898">
        <v>338.6300048828125</v>
      </c>
      <c r="G898">
        <v>5350500</v>
      </c>
      <c r="I898" s="5">
        <f t="shared" si="32"/>
        <v>-2.207968402786812E-2</v>
      </c>
      <c r="K898" s="5">
        <f t="shared" si="33"/>
        <v>896</v>
      </c>
      <c r="L898" s="5">
        <v>1.180935644417498E-2</v>
      </c>
    </row>
    <row r="899" spans="1:12" x14ac:dyDescent="0.25">
      <c r="A899" s="1">
        <v>45033</v>
      </c>
      <c r="B899">
        <v>338</v>
      </c>
      <c r="C899">
        <v>338.3900146484375</v>
      </c>
      <c r="D899">
        <v>327.5</v>
      </c>
      <c r="E899">
        <v>332.72000122070313</v>
      </c>
      <c r="F899">
        <v>332.72000122070313</v>
      </c>
      <c r="G899">
        <v>6136000</v>
      </c>
      <c r="I899" s="5">
        <f t="shared" si="32"/>
        <v>-1.7606781208207928E-2</v>
      </c>
      <c r="K899" s="5">
        <f t="shared" si="33"/>
        <v>897</v>
      </c>
      <c r="L899" s="5">
        <v>1.1856025220541867E-2</v>
      </c>
    </row>
    <row r="900" spans="1:12" x14ac:dyDescent="0.25">
      <c r="A900" s="1">
        <v>45034</v>
      </c>
      <c r="B900">
        <v>335</v>
      </c>
      <c r="C900">
        <v>337.19000244140625</v>
      </c>
      <c r="D900">
        <v>330.5</v>
      </c>
      <c r="E900">
        <v>333.70001220703125</v>
      </c>
      <c r="F900">
        <v>333.70001220703125</v>
      </c>
      <c r="G900">
        <v>17944500</v>
      </c>
      <c r="I900" s="5">
        <f t="shared" ref="I900:I963" si="34">LN(F900/F899)</f>
        <v>2.9411232346661102E-3</v>
      </c>
      <c r="K900" s="5">
        <f t="shared" ref="K900:K963" si="35">_xlfn.RANK.AVG(L900,_xlfn.ANCHORARRAY($L$3),1)</f>
        <v>898</v>
      </c>
      <c r="L900" s="5">
        <v>1.1876781859552911E-2</v>
      </c>
    </row>
    <row r="901" spans="1:12" x14ac:dyDescent="0.25">
      <c r="A901" s="1">
        <v>45035</v>
      </c>
      <c r="B901">
        <v>324.20999145507813</v>
      </c>
      <c r="C901">
        <v>325.75</v>
      </c>
      <c r="D901">
        <v>316.10000610351563</v>
      </c>
      <c r="E901">
        <v>323.1199951171875</v>
      </c>
      <c r="F901">
        <v>323.1199951171875</v>
      </c>
      <c r="G901">
        <v>22128300</v>
      </c>
      <c r="I901" s="5">
        <f t="shared" si="34"/>
        <v>-3.2218666194477538E-2</v>
      </c>
      <c r="K901" s="5">
        <f t="shared" si="35"/>
        <v>899</v>
      </c>
      <c r="L901" s="5">
        <v>1.1877344076727279E-2</v>
      </c>
    </row>
    <row r="902" spans="1:12" x14ac:dyDescent="0.25">
      <c r="A902" s="1">
        <v>45036</v>
      </c>
      <c r="B902">
        <v>320.3900146484375</v>
      </c>
      <c r="C902">
        <v>331.42999267578125</v>
      </c>
      <c r="D902">
        <v>318.32998657226563</v>
      </c>
      <c r="E902">
        <v>325.35000610351563</v>
      </c>
      <c r="F902">
        <v>325.35000610351563</v>
      </c>
      <c r="G902">
        <v>9947800</v>
      </c>
      <c r="I902" s="5">
        <f t="shared" si="34"/>
        <v>6.8777885571332555E-3</v>
      </c>
      <c r="K902" s="5">
        <f t="shared" si="35"/>
        <v>900</v>
      </c>
      <c r="L902" s="5">
        <v>1.1881435884236397E-2</v>
      </c>
    </row>
    <row r="903" spans="1:12" x14ac:dyDescent="0.25">
      <c r="A903" s="1">
        <v>45037</v>
      </c>
      <c r="B903">
        <v>323</v>
      </c>
      <c r="C903">
        <v>328.29000854492188</v>
      </c>
      <c r="D903">
        <v>319.5</v>
      </c>
      <c r="E903">
        <v>327.98001098632813</v>
      </c>
      <c r="F903">
        <v>327.98001098632813</v>
      </c>
      <c r="G903">
        <v>6348000</v>
      </c>
      <c r="I903" s="5">
        <f t="shared" si="34"/>
        <v>8.0511197114062662E-3</v>
      </c>
      <c r="K903" s="5">
        <f t="shared" si="35"/>
        <v>901</v>
      </c>
      <c r="L903" s="5">
        <v>1.1970857411684637E-2</v>
      </c>
    </row>
    <row r="904" spans="1:12" x14ac:dyDescent="0.25">
      <c r="A904" s="1">
        <v>45040</v>
      </c>
      <c r="B904">
        <v>330.20001220703125</v>
      </c>
      <c r="C904">
        <v>334.66000366210938</v>
      </c>
      <c r="D904">
        <v>326.75</v>
      </c>
      <c r="E904">
        <v>329.01998901367188</v>
      </c>
      <c r="F904">
        <v>329.01998901367188</v>
      </c>
      <c r="G904">
        <v>5586600</v>
      </c>
      <c r="I904" s="5">
        <f t="shared" si="34"/>
        <v>3.1658413879647298E-3</v>
      </c>
      <c r="K904" s="5">
        <f t="shared" si="35"/>
        <v>902</v>
      </c>
      <c r="L904" s="5">
        <v>1.2022597981664454E-2</v>
      </c>
    </row>
    <row r="905" spans="1:12" x14ac:dyDescent="0.25">
      <c r="A905" s="1">
        <v>45041</v>
      </c>
      <c r="B905">
        <v>328.5</v>
      </c>
      <c r="C905">
        <v>328.66000366210938</v>
      </c>
      <c r="D905">
        <v>321.10000610351563</v>
      </c>
      <c r="E905">
        <v>322.54998779296875</v>
      </c>
      <c r="F905">
        <v>322.54998779296875</v>
      </c>
      <c r="G905">
        <v>5426600</v>
      </c>
      <c r="I905" s="5">
        <f t="shared" si="34"/>
        <v>-1.9860380667351255E-2</v>
      </c>
      <c r="K905" s="5">
        <f t="shared" si="35"/>
        <v>903</v>
      </c>
      <c r="L905" s="5">
        <v>1.2164254155602176E-2</v>
      </c>
    </row>
    <row r="906" spans="1:12" x14ac:dyDescent="0.25">
      <c r="A906" s="1">
        <v>45042</v>
      </c>
      <c r="B906">
        <v>321.3599853515625</v>
      </c>
      <c r="C906">
        <v>325.89999389648438</v>
      </c>
      <c r="D906">
        <v>320.47000122070313</v>
      </c>
      <c r="E906">
        <v>321.14999389648438</v>
      </c>
      <c r="F906">
        <v>321.14999389648438</v>
      </c>
      <c r="G906">
        <v>4623200</v>
      </c>
      <c r="I906" s="5">
        <f t="shared" si="34"/>
        <v>-4.3498404342428845E-3</v>
      </c>
      <c r="K906" s="5">
        <f t="shared" si="35"/>
        <v>904</v>
      </c>
      <c r="L906" s="5">
        <v>1.224928657597271E-2</v>
      </c>
    </row>
    <row r="907" spans="1:12" x14ac:dyDescent="0.25">
      <c r="A907" s="1">
        <v>45043</v>
      </c>
      <c r="B907">
        <v>324.29998779296875</v>
      </c>
      <c r="C907">
        <v>327.45001220703125</v>
      </c>
      <c r="D907">
        <v>317.44000244140625</v>
      </c>
      <c r="E907">
        <v>325.85000610351563</v>
      </c>
      <c r="F907">
        <v>325.85000610351563</v>
      </c>
      <c r="G907">
        <v>5618800</v>
      </c>
      <c r="I907" s="5">
        <f t="shared" si="34"/>
        <v>1.452888681083341E-2</v>
      </c>
      <c r="K907" s="5">
        <f t="shared" si="35"/>
        <v>905</v>
      </c>
      <c r="L907" s="5">
        <v>1.2268683858303183E-2</v>
      </c>
    </row>
    <row r="908" spans="1:12" x14ac:dyDescent="0.25">
      <c r="A908" s="1">
        <v>45044</v>
      </c>
      <c r="B908">
        <v>325.239990234375</v>
      </c>
      <c r="C908">
        <v>330.80999755859375</v>
      </c>
      <c r="D908">
        <v>324</v>
      </c>
      <c r="E908">
        <v>329.92999267578125</v>
      </c>
      <c r="F908">
        <v>329.92999267578125</v>
      </c>
      <c r="G908">
        <v>4221900</v>
      </c>
      <c r="I908" s="5">
        <f t="shared" si="34"/>
        <v>1.2443317038758676E-2</v>
      </c>
      <c r="K908" s="5">
        <f t="shared" si="35"/>
        <v>906</v>
      </c>
      <c r="L908" s="5">
        <v>1.2383282701065153E-2</v>
      </c>
    </row>
    <row r="909" spans="1:12" x14ac:dyDescent="0.25">
      <c r="A909" s="1">
        <v>45047</v>
      </c>
      <c r="B909">
        <v>329.44000244140625</v>
      </c>
      <c r="C909">
        <v>331.23001098632813</v>
      </c>
      <c r="D909">
        <v>318.08999633789063</v>
      </c>
      <c r="E909">
        <v>324.1199951171875</v>
      </c>
      <c r="F909">
        <v>324.1199951171875</v>
      </c>
      <c r="G909">
        <v>5341500</v>
      </c>
      <c r="I909" s="5">
        <f t="shared" si="34"/>
        <v>-1.7766686020511867E-2</v>
      </c>
      <c r="K909" s="5">
        <f t="shared" si="35"/>
        <v>907</v>
      </c>
      <c r="L909" s="5">
        <v>1.2387854635903358E-2</v>
      </c>
    </row>
    <row r="910" spans="1:12" x14ac:dyDescent="0.25">
      <c r="A910" s="1">
        <v>45048</v>
      </c>
      <c r="B910">
        <v>325</v>
      </c>
      <c r="C910">
        <v>326.07000732421875</v>
      </c>
      <c r="D910">
        <v>315.6199951171875</v>
      </c>
      <c r="E910">
        <v>317.54998779296875</v>
      </c>
      <c r="F910">
        <v>317.54998779296875</v>
      </c>
      <c r="G910">
        <v>4318600</v>
      </c>
      <c r="I910" s="5">
        <f t="shared" si="34"/>
        <v>-2.0478554720000691E-2</v>
      </c>
      <c r="K910" s="5">
        <f t="shared" si="35"/>
        <v>908</v>
      </c>
      <c r="L910" s="5">
        <v>1.2413407906651084E-2</v>
      </c>
    </row>
    <row r="911" spans="1:12" x14ac:dyDescent="0.25">
      <c r="A911" s="1">
        <v>45049</v>
      </c>
      <c r="B911">
        <v>317.54998779296875</v>
      </c>
      <c r="C911">
        <v>324.6199951171875</v>
      </c>
      <c r="D911">
        <v>315.85000610351563</v>
      </c>
      <c r="E911">
        <v>319.29998779296875</v>
      </c>
      <c r="F911">
        <v>319.29998779296875</v>
      </c>
      <c r="G911">
        <v>5064100</v>
      </c>
      <c r="I911" s="5">
        <f t="shared" si="34"/>
        <v>5.4958136824391629E-3</v>
      </c>
      <c r="K911" s="5">
        <f t="shared" si="35"/>
        <v>909</v>
      </c>
      <c r="L911" s="5">
        <v>1.2422501131520054E-2</v>
      </c>
    </row>
    <row r="912" spans="1:12" x14ac:dyDescent="0.25">
      <c r="A912" s="1">
        <v>45050</v>
      </c>
      <c r="B912">
        <v>319.010009765625</v>
      </c>
      <c r="C912">
        <v>323.6099853515625</v>
      </c>
      <c r="D912">
        <v>317.95001220703125</v>
      </c>
      <c r="E912">
        <v>320.77999877929688</v>
      </c>
      <c r="F912">
        <v>320.77999877929688</v>
      </c>
      <c r="G912">
        <v>3879700</v>
      </c>
      <c r="I912" s="5">
        <f t="shared" si="34"/>
        <v>4.6244646136768984E-3</v>
      </c>
      <c r="K912" s="5">
        <f t="shared" si="35"/>
        <v>910</v>
      </c>
      <c r="L912" s="5">
        <v>1.2443317038758676E-2</v>
      </c>
    </row>
    <row r="913" spans="1:12" x14ac:dyDescent="0.25">
      <c r="A913" s="1">
        <v>45051</v>
      </c>
      <c r="B913">
        <v>323.6099853515625</v>
      </c>
      <c r="C913">
        <v>324.14999389648438</v>
      </c>
      <c r="D913">
        <v>319.44000244140625</v>
      </c>
      <c r="E913">
        <v>322.760009765625</v>
      </c>
      <c r="F913">
        <v>322.760009765625</v>
      </c>
      <c r="G913">
        <v>3988600</v>
      </c>
      <c r="I913" s="5">
        <f t="shared" si="34"/>
        <v>6.153517133109865E-3</v>
      </c>
      <c r="K913" s="5">
        <f t="shared" si="35"/>
        <v>911</v>
      </c>
      <c r="L913" s="5">
        <v>1.245122585021876E-2</v>
      </c>
    </row>
    <row r="914" spans="1:12" x14ac:dyDescent="0.25">
      <c r="A914" s="1">
        <v>45054</v>
      </c>
      <c r="B914">
        <v>322.989990234375</v>
      </c>
      <c r="C914">
        <v>332.55999755859375</v>
      </c>
      <c r="D914">
        <v>322.02999877929688</v>
      </c>
      <c r="E914">
        <v>331.20999145507813</v>
      </c>
      <c r="F914">
        <v>331.20999145507813</v>
      </c>
      <c r="G914">
        <v>5488600</v>
      </c>
      <c r="I914" s="5">
        <f t="shared" si="34"/>
        <v>2.5843546255986512E-2</v>
      </c>
      <c r="K914" s="5">
        <f t="shared" si="35"/>
        <v>912</v>
      </c>
      <c r="L914" s="5">
        <v>1.2555317170871636E-2</v>
      </c>
    </row>
    <row r="915" spans="1:12" x14ac:dyDescent="0.25">
      <c r="A915" s="1">
        <v>45055</v>
      </c>
      <c r="B915">
        <v>330.67001342773438</v>
      </c>
      <c r="C915">
        <v>336.32000732421875</v>
      </c>
      <c r="D915">
        <v>329.739990234375</v>
      </c>
      <c r="E915">
        <v>332.1400146484375</v>
      </c>
      <c r="F915">
        <v>332.1400146484375</v>
      </c>
      <c r="G915">
        <v>5544900</v>
      </c>
      <c r="I915" s="5">
        <f t="shared" si="34"/>
        <v>2.8040213889013871E-3</v>
      </c>
      <c r="K915" s="5">
        <f t="shared" si="35"/>
        <v>913</v>
      </c>
      <c r="L915" s="5">
        <v>1.2593195213543126E-2</v>
      </c>
    </row>
    <row r="916" spans="1:12" x14ac:dyDescent="0.25">
      <c r="A916" s="1">
        <v>45056</v>
      </c>
      <c r="B916">
        <v>335.20999145507813</v>
      </c>
      <c r="C916">
        <v>337.1099853515625</v>
      </c>
      <c r="D916">
        <v>329.510009765625</v>
      </c>
      <c r="E916">
        <v>335.42001342773438</v>
      </c>
      <c r="F916">
        <v>335.42001342773438</v>
      </c>
      <c r="G916">
        <v>4289900</v>
      </c>
      <c r="I916" s="5">
        <f t="shared" si="34"/>
        <v>9.8269070542719994E-3</v>
      </c>
      <c r="K916" s="5">
        <f t="shared" si="35"/>
        <v>914</v>
      </c>
      <c r="L916" s="5">
        <v>1.2639165718537166E-2</v>
      </c>
    </row>
    <row r="917" spans="1:12" x14ac:dyDescent="0.25">
      <c r="A917" s="1">
        <v>45057</v>
      </c>
      <c r="B917">
        <v>334.98001098632813</v>
      </c>
      <c r="C917">
        <v>345.47000122070313</v>
      </c>
      <c r="D917">
        <v>331.83999633789063</v>
      </c>
      <c r="E917">
        <v>344.760009765625</v>
      </c>
      <c r="F917">
        <v>344.760009765625</v>
      </c>
      <c r="G917">
        <v>8033500</v>
      </c>
      <c r="I917" s="5">
        <f t="shared" si="34"/>
        <v>2.7465033168982578E-2</v>
      </c>
      <c r="K917" s="5">
        <f t="shared" si="35"/>
        <v>915</v>
      </c>
      <c r="L917" s="5">
        <v>1.2702288862496943E-2</v>
      </c>
    </row>
    <row r="918" spans="1:12" x14ac:dyDescent="0.25">
      <c r="A918" s="1">
        <v>45058</v>
      </c>
      <c r="B918">
        <v>344.760009765625</v>
      </c>
      <c r="C918">
        <v>348.17001342773438</v>
      </c>
      <c r="D918">
        <v>337.3599853515625</v>
      </c>
      <c r="E918">
        <v>339.8900146484375</v>
      </c>
      <c r="F918">
        <v>339.8900146484375</v>
      </c>
      <c r="G918">
        <v>6079900</v>
      </c>
      <c r="I918" s="5">
        <f t="shared" si="34"/>
        <v>-1.4226472155968986E-2</v>
      </c>
      <c r="K918" s="5">
        <f t="shared" si="35"/>
        <v>916</v>
      </c>
      <c r="L918" s="5">
        <v>1.2727685782360155E-2</v>
      </c>
    </row>
    <row r="919" spans="1:12" x14ac:dyDescent="0.25">
      <c r="A919" s="1">
        <v>45061</v>
      </c>
      <c r="B919">
        <v>340.6199951171875</v>
      </c>
      <c r="C919">
        <v>341.89999389648438</v>
      </c>
      <c r="D919">
        <v>335.54000854492188</v>
      </c>
      <c r="E919">
        <v>335.8900146484375</v>
      </c>
      <c r="F919">
        <v>335.8900146484375</v>
      </c>
      <c r="G919">
        <v>3653000</v>
      </c>
      <c r="I919" s="5">
        <f t="shared" si="34"/>
        <v>-1.183830992829654E-2</v>
      </c>
      <c r="K919" s="5">
        <f t="shared" si="35"/>
        <v>917</v>
      </c>
      <c r="L919" s="5">
        <v>1.2832973948759081E-2</v>
      </c>
    </row>
    <row r="920" spans="1:12" x14ac:dyDescent="0.25">
      <c r="A920" s="1">
        <v>45062</v>
      </c>
      <c r="B920">
        <v>334</v>
      </c>
      <c r="C920">
        <v>335.17001342773438</v>
      </c>
      <c r="D920">
        <v>331.91000366210938</v>
      </c>
      <c r="E920">
        <v>333.75</v>
      </c>
      <c r="F920">
        <v>333.75</v>
      </c>
      <c r="G920">
        <v>3332200</v>
      </c>
      <c r="I920" s="5">
        <f t="shared" si="34"/>
        <v>-6.3915593063377093E-3</v>
      </c>
      <c r="K920" s="5">
        <f t="shared" si="35"/>
        <v>918</v>
      </c>
      <c r="L920" s="5">
        <v>1.2905716274671348E-2</v>
      </c>
    </row>
    <row r="921" spans="1:12" x14ac:dyDescent="0.25">
      <c r="A921" s="1">
        <v>45063</v>
      </c>
      <c r="B921">
        <v>331.760009765625</v>
      </c>
      <c r="C921">
        <v>341.3800048828125</v>
      </c>
      <c r="D921">
        <v>329.6199951171875</v>
      </c>
      <c r="E921">
        <v>339.95999145507813</v>
      </c>
      <c r="F921">
        <v>339.95999145507813</v>
      </c>
      <c r="G921">
        <v>3958800</v>
      </c>
      <c r="I921" s="5">
        <f t="shared" si="34"/>
        <v>1.8435728780885761E-2</v>
      </c>
      <c r="K921" s="5">
        <f t="shared" si="35"/>
        <v>919</v>
      </c>
      <c r="L921" s="5">
        <v>1.302813594300185E-2</v>
      </c>
    </row>
    <row r="922" spans="1:12" x14ac:dyDescent="0.25">
      <c r="A922" s="1">
        <v>45064</v>
      </c>
      <c r="B922">
        <v>347.25</v>
      </c>
      <c r="C922">
        <v>375.8699951171875</v>
      </c>
      <c r="D922">
        <v>346.3699951171875</v>
      </c>
      <c r="E922">
        <v>371.29000854492188</v>
      </c>
      <c r="F922">
        <v>371.29000854492188</v>
      </c>
      <c r="G922">
        <v>20925200</v>
      </c>
      <c r="I922" s="5">
        <f t="shared" si="34"/>
        <v>8.8155512939473629E-2</v>
      </c>
      <c r="K922" s="5">
        <f t="shared" si="35"/>
        <v>920</v>
      </c>
      <c r="L922" s="5">
        <v>1.304866824078665E-2</v>
      </c>
    </row>
    <row r="923" spans="1:12" x14ac:dyDescent="0.25">
      <c r="A923" s="1">
        <v>45065</v>
      </c>
      <c r="B923">
        <v>369.8599853515625</v>
      </c>
      <c r="C923">
        <v>369.989990234375</v>
      </c>
      <c r="D923">
        <v>363.80999755859375</v>
      </c>
      <c r="E923">
        <v>365.3599853515625</v>
      </c>
      <c r="F923">
        <v>365.3599853515625</v>
      </c>
      <c r="G923">
        <v>7850900</v>
      </c>
      <c r="I923" s="5">
        <f t="shared" si="34"/>
        <v>-1.6100322651237436E-2</v>
      </c>
      <c r="K923" s="5">
        <f t="shared" si="35"/>
        <v>921</v>
      </c>
      <c r="L923" s="5">
        <v>1.305256581771494E-2</v>
      </c>
    </row>
    <row r="924" spans="1:12" x14ac:dyDescent="0.25">
      <c r="A924" s="1">
        <v>45068</v>
      </c>
      <c r="B924">
        <v>365.3599853515625</v>
      </c>
      <c r="C924">
        <v>372.010009765625</v>
      </c>
      <c r="D924">
        <v>362.5</v>
      </c>
      <c r="E924">
        <v>363.010009765625</v>
      </c>
      <c r="F924">
        <v>363.010009765625</v>
      </c>
      <c r="G924">
        <v>5406400</v>
      </c>
      <c r="I924" s="5">
        <f t="shared" si="34"/>
        <v>-6.4527197870021744E-3</v>
      </c>
      <c r="K924" s="5">
        <f t="shared" si="35"/>
        <v>922</v>
      </c>
      <c r="L924" s="5">
        <v>1.3102115426880924E-2</v>
      </c>
    </row>
    <row r="925" spans="1:12" x14ac:dyDescent="0.25">
      <c r="A925" s="1">
        <v>45069</v>
      </c>
      <c r="B925">
        <v>360.239990234375</v>
      </c>
      <c r="C925">
        <v>364.17001342773438</v>
      </c>
      <c r="D925">
        <v>354.30999755859375</v>
      </c>
      <c r="E925">
        <v>355.989990234375</v>
      </c>
      <c r="F925">
        <v>355.989990234375</v>
      </c>
      <c r="G925">
        <v>6866100</v>
      </c>
      <c r="I925" s="5">
        <f t="shared" si="34"/>
        <v>-1.9527795859019079E-2</v>
      </c>
      <c r="K925" s="5">
        <f t="shared" si="35"/>
        <v>923</v>
      </c>
      <c r="L925" s="5">
        <v>1.3185740714775029E-2</v>
      </c>
    </row>
    <row r="926" spans="1:12" x14ac:dyDescent="0.25">
      <c r="A926" s="1">
        <v>45070</v>
      </c>
      <c r="B926">
        <v>356.92999267578125</v>
      </c>
      <c r="C926">
        <v>367.14999389648438</v>
      </c>
      <c r="D926">
        <v>356.6300048828125</v>
      </c>
      <c r="E926">
        <v>364.85000610351563</v>
      </c>
      <c r="F926">
        <v>364.85000610351563</v>
      </c>
      <c r="G926">
        <v>7973300</v>
      </c>
      <c r="I926" s="5">
        <f t="shared" si="34"/>
        <v>2.4583713802904625E-2</v>
      </c>
      <c r="K926" s="5">
        <f t="shared" si="35"/>
        <v>924</v>
      </c>
      <c r="L926" s="5">
        <v>1.3205380782670077E-2</v>
      </c>
    </row>
    <row r="927" spans="1:12" x14ac:dyDescent="0.25">
      <c r="A927" s="1">
        <v>45071</v>
      </c>
      <c r="B927">
        <v>359.6099853515625</v>
      </c>
      <c r="C927">
        <v>367.45001220703125</v>
      </c>
      <c r="D927">
        <v>357.42001342773438</v>
      </c>
      <c r="E927">
        <v>359</v>
      </c>
      <c r="F927">
        <v>359</v>
      </c>
      <c r="G927">
        <v>6263100</v>
      </c>
      <c r="I927" s="5">
        <f t="shared" si="34"/>
        <v>-1.6163938452185538E-2</v>
      </c>
      <c r="K927" s="5">
        <f t="shared" si="35"/>
        <v>925</v>
      </c>
      <c r="L927" s="5">
        <v>1.3253105378565786E-2</v>
      </c>
    </row>
    <row r="928" spans="1:12" x14ac:dyDescent="0.25">
      <c r="A928" s="1">
        <v>45072</v>
      </c>
      <c r="B928">
        <v>361.10000610351563</v>
      </c>
      <c r="C928">
        <v>383.760009765625</v>
      </c>
      <c r="D928">
        <v>356</v>
      </c>
      <c r="E928">
        <v>378.8800048828125</v>
      </c>
      <c r="F928">
        <v>378.8800048828125</v>
      </c>
      <c r="G928">
        <v>9360400</v>
      </c>
      <c r="I928" s="5">
        <f t="shared" si="34"/>
        <v>5.3897156654797891E-2</v>
      </c>
      <c r="K928" s="5">
        <f t="shared" si="35"/>
        <v>926</v>
      </c>
      <c r="L928" s="5">
        <v>1.3258224640030699E-2</v>
      </c>
    </row>
    <row r="929" spans="1:12" x14ac:dyDescent="0.25">
      <c r="A929" s="1">
        <v>45076</v>
      </c>
      <c r="B929">
        <v>397.48001098632813</v>
      </c>
      <c r="C929">
        <v>405.1099853515625</v>
      </c>
      <c r="D929">
        <v>385.79000854492188</v>
      </c>
      <c r="E929">
        <v>392.98001098632813</v>
      </c>
      <c r="F929">
        <v>392.98001098632813</v>
      </c>
      <c r="G929">
        <v>10865000</v>
      </c>
      <c r="I929" s="5">
        <f t="shared" si="34"/>
        <v>3.653920280242863E-2</v>
      </c>
      <c r="K929" s="5">
        <f t="shared" si="35"/>
        <v>927</v>
      </c>
      <c r="L929" s="5">
        <v>1.3352510238063725E-2</v>
      </c>
    </row>
    <row r="930" spans="1:12" x14ac:dyDescent="0.25">
      <c r="A930" s="1">
        <v>45077</v>
      </c>
      <c r="B930">
        <v>391.8900146484375</v>
      </c>
      <c r="C930">
        <v>396.260009765625</v>
      </c>
      <c r="D930">
        <v>388.91000366210938</v>
      </c>
      <c r="E930">
        <v>395.23001098632813</v>
      </c>
      <c r="F930">
        <v>395.23001098632813</v>
      </c>
      <c r="G930">
        <v>6988000</v>
      </c>
      <c r="I930" s="5">
        <f t="shared" si="34"/>
        <v>5.7091537755951513E-3</v>
      </c>
      <c r="K930" s="5">
        <f t="shared" si="35"/>
        <v>928</v>
      </c>
      <c r="L930" s="5">
        <v>1.3356471117720852E-2</v>
      </c>
    </row>
    <row r="931" spans="1:12" x14ac:dyDescent="0.25">
      <c r="A931" s="1">
        <v>45078</v>
      </c>
      <c r="B931">
        <v>397.41000366210938</v>
      </c>
      <c r="C931">
        <v>407.51998901367188</v>
      </c>
      <c r="D931">
        <v>393.07998657226563</v>
      </c>
      <c r="E931">
        <v>403.1300048828125</v>
      </c>
      <c r="F931">
        <v>403.1300048828125</v>
      </c>
      <c r="G931">
        <v>7160100</v>
      </c>
      <c r="I931" s="5">
        <f t="shared" si="34"/>
        <v>1.9791200965046364E-2</v>
      </c>
      <c r="K931" s="5">
        <f t="shared" si="35"/>
        <v>929</v>
      </c>
      <c r="L931" s="5">
        <v>1.3418916878890288E-2</v>
      </c>
    </row>
    <row r="932" spans="1:12" x14ac:dyDescent="0.25">
      <c r="A932" s="1">
        <v>45079</v>
      </c>
      <c r="B932">
        <v>402.8900146484375</v>
      </c>
      <c r="C932">
        <v>406.57998657226563</v>
      </c>
      <c r="D932">
        <v>395.89999389648438</v>
      </c>
      <c r="E932">
        <v>400.47000122070313</v>
      </c>
      <c r="F932">
        <v>400.47000122070313</v>
      </c>
      <c r="G932">
        <v>5897300</v>
      </c>
      <c r="I932" s="5">
        <f t="shared" si="34"/>
        <v>-6.6202423022202403E-3</v>
      </c>
      <c r="K932" s="5">
        <f t="shared" si="35"/>
        <v>930</v>
      </c>
      <c r="L932" s="5">
        <v>1.3445555375617898E-2</v>
      </c>
    </row>
    <row r="933" spans="1:12" x14ac:dyDescent="0.25">
      <c r="A933" s="1">
        <v>45082</v>
      </c>
      <c r="B933">
        <v>400.47000122070313</v>
      </c>
      <c r="C933">
        <v>413.8599853515625</v>
      </c>
      <c r="D933">
        <v>400.14999389648438</v>
      </c>
      <c r="E933">
        <v>403.54000854492188</v>
      </c>
      <c r="F933">
        <v>403.54000854492188</v>
      </c>
      <c r="G933">
        <v>7247400</v>
      </c>
      <c r="I933" s="5">
        <f t="shared" si="34"/>
        <v>7.6367761775116005E-3</v>
      </c>
      <c r="K933" s="5">
        <f t="shared" si="35"/>
        <v>931</v>
      </c>
      <c r="L933" s="5">
        <v>1.3573363871456549E-2</v>
      </c>
    </row>
    <row r="934" spans="1:12" x14ac:dyDescent="0.25">
      <c r="A934" s="1">
        <v>45083</v>
      </c>
      <c r="B934">
        <v>405</v>
      </c>
      <c r="C934">
        <v>405.1199951171875</v>
      </c>
      <c r="D934">
        <v>396.92999267578125</v>
      </c>
      <c r="E934">
        <v>399.29000854492188</v>
      </c>
      <c r="F934">
        <v>399.29000854492188</v>
      </c>
      <c r="G934">
        <v>4991500</v>
      </c>
      <c r="I934" s="5">
        <f t="shared" si="34"/>
        <v>-1.0587645232271478E-2</v>
      </c>
      <c r="K934" s="5">
        <f t="shared" si="35"/>
        <v>932</v>
      </c>
      <c r="L934" s="5">
        <v>1.3693654920308499E-2</v>
      </c>
    </row>
    <row r="935" spans="1:12" x14ac:dyDescent="0.25">
      <c r="A935" s="1">
        <v>45084</v>
      </c>
      <c r="B935">
        <v>410.42999267578125</v>
      </c>
      <c r="C935">
        <v>418.95001220703125</v>
      </c>
      <c r="D935">
        <v>399.23001098632813</v>
      </c>
      <c r="E935">
        <v>399.76998901367188</v>
      </c>
      <c r="F935">
        <v>399.76998901367188</v>
      </c>
      <c r="G935">
        <v>11932400</v>
      </c>
      <c r="I935" s="5">
        <f t="shared" si="34"/>
        <v>1.2013629212952815E-3</v>
      </c>
      <c r="K935" s="5">
        <f t="shared" si="35"/>
        <v>933</v>
      </c>
      <c r="L935" s="5">
        <v>1.3780598454738016E-2</v>
      </c>
    </row>
    <row r="936" spans="1:12" x14ac:dyDescent="0.25">
      <c r="A936" s="1">
        <v>45085</v>
      </c>
      <c r="B936">
        <v>399.76998901367188</v>
      </c>
      <c r="C936">
        <v>409.54000854492188</v>
      </c>
      <c r="D936">
        <v>396.33999633789063</v>
      </c>
      <c r="E936">
        <v>409.3699951171875</v>
      </c>
      <c r="F936">
        <v>409.3699951171875</v>
      </c>
      <c r="G936">
        <v>5991100</v>
      </c>
      <c r="I936" s="5">
        <f t="shared" si="34"/>
        <v>2.3730026396381075E-2</v>
      </c>
      <c r="K936" s="5">
        <f t="shared" si="35"/>
        <v>934</v>
      </c>
      <c r="L936" s="5">
        <v>1.3785958727479746E-2</v>
      </c>
    </row>
    <row r="937" spans="1:12" x14ac:dyDescent="0.25">
      <c r="A937" s="1">
        <v>45086</v>
      </c>
      <c r="B937">
        <v>424.5</v>
      </c>
      <c r="C937">
        <v>425.89999389648438</v>
      </c>
      <c r="D937">
        <v>414.760009765625</v>
      </c>
      <c r="E937">
        <v>420.01998901367188</v>
      </c>
      <c r="F937">
        <v>420.01998901367188</v>
      </c>
      <c r="G937">
        <v>12363000</v>
      </c>
      <c r="I937" s="5">
        <f t="shared" si="34"/>
        <v>2.5682922387759849E-2</v>
      </c>
      <c r="K937" s="5">
        <f t="shared" si="35"/>
        <v>935</v>
      </c>
      <c r="L937" s="5">
        <v>1.3802037850501277E-2</v>
      </c>
    </row>
    <row r="938" spans="1:12" x14ac:dyDescent="0.25">
      <c r="A938" s="1">
        <v>45089</v>
      </c>
      <c r="B938">
        <v>418.82998657226563</v>
      </c>
      <c r="C938">
        <v>424.70001220703125</v>
      </c>
      <c r="D938">
        <v>416.57000732421875</v>
      </c>
      <c r="E938">
        <v>423.97000122070313</v>
      </c>
      <c r="F938">
        <v>423.97000122070313</v>
      </c>
      <c r="G938">
        <v>5959500</v>
      </c>
      <c r="I938" s="5">
        <f t="shared" si="34"/>
        <v>9.3603978563606902E-3</v>
      </c>
      <c r="K938" s="5">
        <f t="shared" si="35"/>
        <v>936</v>
      </c>
      <c r="L938" s="5">
        <v>1.3928080529568556E-2</v>
      </c>
    </row>
    <row r="939" spans="1:12" x14ac:dyDescent="0.25">
      <c r="A939" s="1">
        <v>45090</v>
      </c>
      <c r="B939">
        <v>430.010009765625</v>
      </c>
      <c r="C939">
        <v>437.26998901367188</v>
      </c>
      <c r="D939">
        <v>428.39999389648438</v>
      </c>
      <c r="E939">
        <v>435.73001098632813</v>
      </c>
      <c r="F939">
        <v>435.73001098632813</v>
      </c>
      <c r="G939">
        <v>7820500</v>
      </c>
      <c r="I939" s="5">
        <f t="shared" si="34"/>
        <v>2.7360109792217126E-2</v>
      </c>
      <c r="K939" s="5">
        <f t="shared" si="35"/>
        <v>937</v>
      </c>
      <c r="L939" s="5">
        <v>1.3988728558496241E-2</v>
      </c>
    </row>
    <row r="940" spans="1:12" x14ac:dyDescent="0.25">
      <c r="A940" s="1">
        <v>45091</v>
      </c>
      <c r="B940">
        <v>434.989990234375</v>
      </c>
      <c r="C940">
        <v>447.32998657226563</v>
      </c>
      <c r="D940">
        <v>433.5</v>
      </c>
      <c r="E940">
        <v>440.8599853515625</v>
      </c>
      <c r="F940">
        <v>440.8599853515625</v>
      </c>
      <c r="G940">
        <v>8413100</v>
      </c>
      <c r="I940" s="5">
        <f t="shared" si="34"/>
        <v>1.17045208180502E-2</v>
      </c>
      <c r="K940" s="5">
        <f t="shared" si="35"/>
        <v>938</v>
      </c>
      <c r="L940" s="5">
        <v>1.4154540493438086E-2</v>
      </c>
    </row>
    <row r="941" spans="1:12" x14ac:dyDescent="0.25">
      <c r="A941" s="1">
        <v>45092</v>
      </c>
      <c r="B941">
        <v>444.10000610351563</v>
      </c>
      <c r="C941">
        <v>448.64999389648438</v>
      </c>
      <c r="D941">
        <v>439.5</v>
      </c>
      <c r="E941">
        <v>445.26998901367188</v>
      </c>
      <c r="F941">
        <v>445.26998901367188</v>
      </c>
      <c r="G941">
        <v>7099900</v>
      </c>
      <c r="I941" s="5">
        <f t="shared" si="34"/>
        <v>9.9534835713868362E-3</v>
      </c>
      <c r="K941" s="5">
        <f t="shared" si="35"/>
        <v>939</v>
      </c>
      <c r="L941" s="5">
        <v>1.4195055479512072E-2</v>
      </c>
    </row>
    <row r="942" spans="1:12" x14ac:dyDescent="0.25">
      <c r="A942" s="1">
        <v>45093</v>
      </c>
      <c r="B942">
        <v>446.14999389648438</v>
      </c>
      <c r="C942">
        <v>447.510009765625</v>
      </c>
      <c r="D942">
        <v>430.89999389648438</v>
      </c>
      <c r="E942">
        <v>431.95999145507813</v>
      </c>
      <c r="F942">
        <v>431.95999145507813</v>
      </c>
      <c r="G942">
        <v>8745500</v>
      </c>
      <c r="I942" s="5">
        <f t="shared" si="34"/>
        <v>-3.0347843489803059E-2</v>
      </c>
      <c r="K942" s="5">
        <f t="shared" si="35"/>
        <v>940</v>
      </c>
      <c r="L942" s="5">
        <v>1.424325266068256E-2</v>
      </c>
    </row>
    <row r="943" spans="1:12" x14ac:dyDescent="0.25">
      <c r="A943" s="1">
        <v>45097</v>
      </c>
      <c r="B943">
        <v>430.17999267578125</v>
      </c>
      <c r="C943">
        <v>440</v>
      </c>
      <c r="D943">
        <v>430</v>
      </c>
      <c r="E943">
        <v>434.70001220703125</v>
      </c>
      <c r="F943">
        <v>434.70001220703125</v>
      </c>
      <c r="G943">
        <v>4756000</v>
      </c>
      <c r="I943" s="5">
        <f t="shared" si="34"/>
        <v>6.323194493437905E-3</v>
      </c>
      <c r="K943" s="5">
        <f t="shared" si="35"/>
        <v>941</v>
      </c>
      <c r="L943" s="5">
        <v>1.4282935699995199E-2</v>
      </c>
    </row>
    <row r="944" spans="1:12" x14ac:dyDescent="0.25">
      <c r="A944" s="1">
        <v>45098</v>
      </c>
      <c r="B944">
        <v>432.64999389648438</v>
      </c>
      <c r="C944">
        <v>434.54998779296875</v>
      </c>
      <c r="D944">
        <v>422.54000854492188</v>
      </c>
      <c r="E944">
        <v>424.45001220703125</v>
      </c>
      <c r="F944">
        <v>424.45001220703125</v>
      </c>
      <c r="G944">
        <v>5146400</v>
      </c>
      <c r="I944" s="5">
        <f t="shared" si="34"/>
        <v>-2.3861924132632127E-2</v>
      </c>
      <c r="K944" s="5">
        <f t="shared" si="35"/>
        <v>942</v>
      </c>
      <c r="L944" s="5">
        <v>1.4347809699744456E-2</v>
      </c>
    </row>
    <row r="945" spans="1:12" x14ac:dyDescent="0.25">
      <c r="A945" s="1">
        <v>45099</v>
      </c>
      <c r="B945">
        <v>422.92999267578125</v>
      </c>
      <c r="C945">
        <v>424.70999145507813</v>
      </c>
      <c r="D945">
        <v>418.67999267578125</v>
      </c>
      <c r="E945">
        <v>422.48001098632813</v>
      </c>
      <c r="F945">
        <v>422.48001098632813</v>
      </c>
      <c r="G945">
        <v>4869500</v>
      </c>
      <c r="I945" s="5">
        <f t="shared" si="34"/>
        <v>-4.6521075405693765E-3</v>
      </c>
      <c r="K945" s="5">
        <f t="shared" si="35"/>
        <v>943</v>
      </c>
      <c r="L945" s="5">
        <v>1.4351141966951633E-2</v>
      </c>
    </row>
    <row r="946" spans="1:12" x14ac:dyDescent="0.25">
      <c r="A946" s="1">
        <v>45100</v>
      </c>
      <c r="B946">
        <v>418.58999633789063</v>
      </c>
      <c r="C946">
        <v>425.82000732421875</v>
      </c>
      <c r="D946">
        <v>417.73001098632813</v>
      </c>
      <c r="E946">
        <v>424.01998901367188</v>
      </c>
      <c r="F946">
        <v>424.01998901367188</v>
      </c>
      <c r="G946">
        <v>8293900</v>
      </c>
      <c r="I946" s="5">
        <f t="shared" si="34"/>
        <v>3.6384636178366605E-3</v>
      </c>
      <c r="K946" s="5">
        <f t="shared" si="35"/>
        <v>944</v>
      </c>
      <c r="L946" s="5">
        <v>1.4390399406284629E-2</v>
      </c>
    </row>
    <row r="947" spans="1:12" x14ac:dyDescent="0.25">
      <c r="A947" s="1">
        <v>45103</v>
      </c>
      <c r="B947">
        <v>422.44000244140625</v>
      </c>
      <c r="C947">
        <v>430.95999145507813</v>
      </c>
      <c r="D947">
        <v>414.89999389648438</v>
      </c>
      <c r="E947">
        <v>415.94000244140625</v>
      </c>
      <c r="F947">
        <v>415.94000244140625</v>
      </c>
      <c r="G947">
        <v>4640000</v>
      </c>
      <c r="I947" s="5">
        <f t="shared" si="34"/>
        <v>-1.9239573061502077E-2</v>
      </c>
      <c r="K947" s="5">
        <f t="shared" si="35"/>
        <v>945</v>
      </c>
      <c r="L947" s="5">
        <v>1.440973110690642E-2</v>
      </c>
    </row>
    <row r="948" spans="1:12" x14ac:dyDescent="0.25">
      <c r="A948" s="1">
        <v>45104</v>
      </c>
      <c r="B948">
        <v>417.3900146484375</v>
      </c>
      <c r="C948">
        <v>420.8800048828125</v>
      </c>
      <c r="D948">
        <v>411.5</v>
      </c>
      <c r="E948">
        <v>417.07998657226563</v>
      </c>
      <c r="F948">
        <v>417.07998657226563</v>
      </c>
      <c r="G948">
        <v>4818100</v>
      </c>
      <c r="I948" s="5">
        <f t="shared" si="34"/>
        <v>2.7369927673799774E-3</v>
      </c>
      <c r="K948" s="5">
        <f t="shared" si="35"/>
        <v>946</v>
      </c>
      <c r="L948" s="5">
        <v>1.4433478417295181E-2</v>
      </c>
    </row>
    <row r="949" spans="1:12" x14ac:dyDescent="0.25">
      <c r="A949" s="1">
        <v>45105</v>
      </c>
      <c r="B949">
        <v>423.10000610351563</v>
      </c>
      <c r="C949">
        <v>437.29000854492188</v>
      </c>
      <c r="D949">
        <v>422.8900146484375</v>
      </c>
      <c r="E949">
        <v>429.83999633789063</v>
      </c>
      <c r="F949">
        <v>429.83999633789063</v>
      </c>
      <c r="G949">
        <v>8811300</v>
      </c>
      <c r="I949" s="5">
        <f t="shared" si="34"/>
        <v>3.013502017409609E-2</v>
      </c>
      <c r="K949" s="5">
        <f t="shared" si="35"/>
        <v>947</v>
      </c>
      <c r="L949" s="5">
        <v>1.4454847083446448E-2</v>
      </c>
    </row>
    <row r="950" spans="1:12" x14ac:dyDescent="0.25">
      <c r="A950" s="1">
        <v>45106</v>
      </c>
      <c r="B950">
        <v>434.32998657226563</v>
      </c>
      <c r="C950">
        <v>437.85000610351563</v>
      </c>
      <c r="D950">
        <v>426.14999389648438</v>
      </c>
      <c r="E950">
        <v>428.239990234375</v>
      </c>
      <c r="F950">
        <v>428.239990234375</v>
      </c>
      <c r="G950">
        <v>4932300</v>
      </c>
      <c r="I950" s="5">
        <f t="shared" si="34"/>
        <v>-3.7292746198304065E-3</v>
      </c>
      <c r="K950" s="5">
        <f t="shared" si="35"/>
        <v>948</v>
      </c>
      <c r="L950" s="5">
        <v>1.4469163876204883E-2</v>
      </c>
    </row>
    <row r="951" spans="1:12" x14ac:dyDescent="0.25">
      <c r="A951" s="1">
        <v>45107</v>
      </c>
      <c r="B951">
        <v>431.10000610351563</v>
      </c>
      <c r="C951">
        <v>444.1199951171875</v>
      </c>
      <c r="D951">
        <v>431.10000610351563</v>
      </c>
      <c r="E951">
        <v>440.489990234375</v>
      </c>
      <c r="F951">
        <v>440.489990234375</v>
      </c>
      <c r="G951">
        <v>7342000</v>
      </c>
      <c r="I951" s="5">
        <f t="shared" si="34"/>
        <v>2.8203958192010523E-2</v>
      </c>
      <c r="K951" s="5">
        <f t="shared" si="35"/>
        <v>949</v>
      </c>
      <c r="L951" s="5">
        <v>1.4470237310086455E-2</v>
      </c>
    </row>
    <row r="952" spans="1:12" x14ac:dyDescent="0.25">
      <c r="A952" s="1">
        <v>45110</v>
      </c>
      <c r="B952">
        <v>439.760009765625</v>
      </c>
      <c r="C952">
        <v>441.54998779296875</v>
      </c>
      <c r="D952">
        <v>431.6199951171875</v>
      </c>
      <c r="E952">
        <v>441.44000244140625</v>
      </c>
      <c r="F952">
        <v>441.44000244140625</v>
      </c>
      <c r="G952">
        <v>3733200</v>
      </c>
      <c r="I952" s="5">
        <f t="shared" si="34"/>
        <v>2.1543945264839394E-3</v>
      </c>
      <c r="K952" s="5">
        <f t="shared" si="35"/>
        <v>950</v>
      </c>
      <c r="L952" s="5">
        <v>1.452888681083341E-2</v>
      </c>
    </row>
    <row r="953" spans="1:12" x14ac:dyDescent="0.25">
      <c r="A953" s="1">
        <v>45112</v>
      </c>
      <c r="B953">
        <v>444.91000366210938</v>
      </c>
      <c r="C953">
        <v>450.97000122070313</v>
      </c>
      <c r="D953">
        <v>439.6199951171875</v>
      </c>
      <c r="E953">
        <v>445.89999389648438</v>
      </c>
      <c r="F953">
        <v>445.89999389648438</v>
      </c>
      <c r="G953">
        <v>6869500</v>
      </c>
      <c r="I953" s="5">
        <f t="shared" si="34"/>
        <v>1.0052581945822734E-2</v>
      </c>
      <c r="K953" s="5">
        <f t="shared" si="35"/>
        <v>951</v>
      </c>
      <c r="L953" s="5">
        <v>1.453359332301562E-2</v>
      </c>
    </row>
    <row r="954" spans="1:12" x14ac:dyDescent="0.25">
      <c r="A954" s="1">
        <v>45113</v>
      </c>
      <c r="B954">
        <v>440</v>
      </c>
      <c r="C954">
        <v>442.79998779296875</v>
      </c>
      <c r="D954">
        <v>430.72000122070313</v>
      </c>
      <c r="E954">
        <v>438.83999633789063</v>
      </c>
      <c r="F954">
        <v>438.83999633789063</v>
      </c>
      <c r="G954">
        <v>4938800</v>
      </c>
      <c r="I954" s="5">
        <f t="shared" si="34"/>
        <v>-1.5959824341035253E-2</v>
      </c>
      <c r="K954" s="5">
        <f t="shared" si="35"/>
        <v>952</v>
      </c>
      <c r="L954" s="5">
        <v>1.455832835949966E-2</v>
      </c>
    </row>
    <row r="955" spans="1:12" x14ac:dyDescent="0.25">
      <c r="A955" s="1">
        <v>45114</v>
      </c>
      <c r="B955">
        <v>438.60000610351563</v>
      </c>
      <c r="C955">
        <v>442.32998657226563</v>
      </c>
      <c r="D955">
        <v>435.83999633789063</v>
      </c>
      <c r="E955">
        <v>438.10000610351563</v>
      </c>
      <c r="F955">
        <v>438.10000610351563</v>
      </c>
      <c r="G955">
        <v>4160100</v>
      </c>
      <c r="I955" s="5">
        <f t="shared" si="34"/>
        <v>-1.6876648526747821E-3</v>
      </c>
      <c r="K955" s="5">
        <f t="shared" si="35"/>
        <v>953</v>
      </c>
      <c r="L955" s="5">
        <v>1.4639893145115464E-2</v>
      </c>
    </row>
    <row r="956" spans="1:12" x14ac:dyDescent="0.25">
      <c r="A956" s="1">
        <v>45117</v>
      </c>
      <c r="B956">
        <v>438.51998901367188</v>
      </c>
      <c r="C956">
        <v>444.41000366210938</v>
      </c>
      <c r="D956">
        <v>436.82000732421875</v>
      </c>
      <c r="E956">
        <v>441.70999145507813</v>
      </c>
      <c r="F956">
        <v>441.70999145507813</v>
      </c>
      <c r="G956">
        <v>4251700</v>
      </c>
      <c r="I956" s="5">
        <f t="shared" si="34"/>
        <v>8.2063300502399177E-3</v>
      </c>
      <c r="K956" s="5">
        <f t="shared" si="35"/>
        <v>954</v>
      </c>
      <c r="L956" s="5">
        <v>1.4716579050054463E-2</v>
      </c>
    </row>
    <row r="957" spans="1:12" x14ac:dyDescent="0.25">
      <c r="A957" s="1">
        <v>45118</v>
      </c>
      <c r="B957">
        <v>438.64999389648438</v>
      </c>
      <c r="C957">
        <v>440.79998779296875</v>
      </c>
      <c r="D957">
        <v>431.04000854492188</v>
      </c>
      <c r="E957">
        <v>440.20999145507813</v>
      </c>
      <c r="F957">
        <v>440.20999145507813</v>
      </c>
      <c r="G957">
        <v>4574600</v>
      </c>
      <c r="I957" s="5">
        <f t="shared" si="34"/>
        <v>-3.4016724317141272E-3</v>
      </c>
      <c r="K957" s="5">
        <f t="shared" si="35"/>
        <v>955</v>
      </c>
      <c r="L957" s="5">
        <v>1.4826282035998652E-2</v>
      </c>
    </row>
    <row r="958" spans="1:12" x14ac:dyDescent="0.25">
      <c r="A958" s="1">
        <v>45119</v>
      </c>
      <c r="B958">
        <v>444.54998779296875</v>
      </c>
      <c r="C958">
        <v>445.41000366210938</v>
      </c>
      <c r="D958">
        <v>437.75</v>
      </c>
      <c r="E958">
        <v>444.04998779296875</v>
      </c>
      <c r="F958">
        <v>444.04998779296875</v>
      </c>
      <c r="G958">
        <v>5731700</v>
      </c>
      <c r="I958" s="5">
        <f t="shared" si="34"/>
        <v>8.6852748441299272E-3</v>
      </c>
      <c r="K958" s="5">
        <f t="shared" si="35"/>
        <v>956</v>
      </c>
      <c r="L958" s="5">
        <v>1.4828375517374912E-2</v>
      </c>
    </row>
    <row r="959" spans="1:12" x14ac:dyDescent="0.25">
      <c r="A959" s="1">
        <v>45120</v>
      </c>
      <c r="B959">
        <v>447</v>
      </c>
      <c r="C959">
        <v>451.67001342773438</v>
      </c>
      <c r="D959">
        <v>441.17999267578125</v>
      </c>
      <c r="E959">
        <v>450.3800048828125</v>
      </c>
      <c r="F959">
        <v>450.3800048828125</v>
      </c>
      <c r="G959">
        <v>6157500</v>
      </c>
      <c r="I959" s="5">
        <f t="shared" si="34"/>
        <v>1.4154540493438086E-2</v>
      </c>
      <c r="K959" s="5">
        <f t="shared" si="35"/>
        <v>957</v>
      </c>
      <c r="L959" s="5">
        <v>1.4835528139506605E-2</v>
      </c>
    </row>
    <row r="960" spans="1:12" x14ac:dyDescent="0.25">
      <c r="A960" s="1">
        <v>45121</v>
      </c>
      <c r="B960">
        <v>452.79000854492188</v>
      </c>
      <c r="C960">
        <v>456.48001098632813</v>
      </c>
      <c r="D960">
        <v>439.70001220703125</v>
      </c>
      <c r="E960">
        <v>441.91000366210938</v>
      </c>
      <c r="F960">
        <v>441.91000366210938</v>
      </c>
      <c r="G960">
        <v>7184900</v>
      </c>
      <c r="I960" s="5">
        <f t="shared" si="34"/>
        <v>-1.8985431985882643E-2</v>
      </c>
      <c r="K960" s="5">
        <f t="shared" si="35"/>
        <v>958</v>
      </c>
      <c r="L960" s="5">
        <v>1.487105174519634E-2</v>
      </c>
    </row>
    <row r="961" spans="1:12" x14ac:dyDescent="0.25">
      <c r="A961" s="1">
        <v>45124</v>
      </c>
      <c r="B961">
        <v>445.57000732421875</v>
      </c>
      <c r="C961">
        <v>456.67999267578125</v>
      </c>
      <c r="D961">
        <v>445.1099853515625</v>
      </c>
      <c r="E961">
        <v>450.04998779296875</v>
      </c>
      <c r="F961">
        <v>450.04998779296875</v>
      </c>
      <c r="G961">
        <v>6891700</v>
      </c>
      <c r="I961" s="5">
        <f t="shared" si="34"/>
        <v>1.8252410857521176E-2</v>
      </c>
      <c r="K961" s="5">
        <f t="shared" si="35"/>
        <v>959</v>
      </c>
      <c r="L961" s="5">
        <v>1.5013174271590286E-2</v>
      </c>
    </row>
    <row r="962" spans="1:12" x14ac:dyDescent="0.25">
      <c r="A962" s="1">
        <v>45125</v>
      </c>
      <c r="B962">
        <v>451</v>
      </c>
      <c r="C962">
        <v>478.14999389648438</v>
      </c>
      <c r="D962">
        <v>448.77999877929688</v>
      </c>
      <c r="E962">
        <v>474.79998779296875</v>
      </c>
      <c r="F962">
        <v>474.79998779296875</v>
      </c>
      <c r="G962">
        <v>13196900</v>
      </c>
      <c r="I962" s="5">
        <f t="shared" si="34"/>
        <v>5.3534976446302666E-2</v>
      </c>
      <c r="K962" s="5">
        <f t="shared" si="35"/>
        <v>960</v>
      </c>
      <c r="L962" s="5">
        <v>1.5060233405193964E-2</v>
      </c>
    </row>
    <row r="963" spans="1:12" x14ac:dyDescent="0.25">
      <c r="A963" s="1">
        <v>45126</v>
      </c>
      <c r="B963">
        <v>476.8599853515625</v>
      </c>
      <c r="C963">
        <v>485</v>
      </c>
      <c r="D963">
        <v>470</v>
      </c>
      <c r="E963">
        <v>477.58999633789063</v>
      </c>
      <c r="F963">
        <v>477.58999633789063</v>
      </c>
      <c r="G963">
        <v>20996500</v>
      </c>
      <c r="I963" s="5">
        <f t="shared" si="34"/>
        <v>5.8589791421701266E-3</v>
      </c>
      <c r="K963" s="5">
        <f t="shared" si="35"/>
        <v>961</v>
      </c>
      <c r="L963" s="5">
        <v>1.5099266528768055E-2</v>
      </c>
    </row>
    <row r="964" spans="1:12" x14ac:dyDescent="0.25">
      <c r="A964" s="1">
        <v>45127</v>
      </c>
      <c r="B964">
        <v>447</v>
      </c>
      <c r="C964">
        <v>448.5</v>
      </c>
      <c r="D964">
        <v>432</v>
      </c>
      <c r="E964">
        <v>437.42001342773438</v>
      </c>
      <c r="F964">
        <v>437.42001342773438</v>
      </c>
      <c r="G964">
        <v>23989700</v>
      </c>
      <c r="I964" s="5">
        <f t="shared" ref="I964:I1027" si="36">LN(F964/F963)</f>
        <v>-8.7858753535861089E-2</v>
      </c>
      <c r="K964" s="5">
        <f t="shared" ref="K964:K1027" si="37">_xlfn.RANK.AVG(L964,_xlfn.ANCHORARRAY($L$3),1)</f>
        <v>962</v>
      </c>
      <c r="L964" s="5">
        <v>1.5161744150684943E-2</v>
      </c>
    </row>
    <row r="965" spans="1:12" x14ac:dyDescent="0.25">
      <c r="A965" s="1">
        <v>45128</v>
      </c>
      <c r="B965">
        <v>437.3699951171875</v>
      </c>
      <c r="C965">
        <v>438.239990234375</v>
      </c>
      <c r="D965">
        <v>423.19000244140625</v>
      </c>
      <c r="E965">
        <v>427.5</v>
      </c>
      <c r="F965">
        <v>427.5</v>
      </c>
      <c r="G965">
        <v>17303700</v>
      </c>
      <c r="I965" s="5">
        <f t="shared" si="36"/>
        <v>-2.2939574255168425E-2</v>
      </c>
      <c r="K965" s="5">
        <f t="shared" si="37"/>
        <v>963</v>
      </c>
      <c r="L965" s="5">
        <v>1.5174759562893646E-2</v>
      </c>
    </row>
    <row r="966" spans="1:12" x14ac:dyDescent="0.25">
      <c r="A966" s="1">
        <v>45131</v>
      </c>
      <c r="B966">
        <v>425</v>
      </c>
      <c r="C966">
        <v>428.6400146484375</v>
      </c>
      <c r="D966">
        <v>419.19000244140625</v>
      </c>
      <c r="E966">
        <v>428.3699951171875</v>
      </c>
      <c r="F966">
        <v>428.3699951171875</v>
      </c>
      <c r="G966">
        <v>8264400</v>
      </c>
      <c r="I966" s="5">
        <f t="shared" si="36"/>
        <v>2.0330083349120107E-3</v>
      </c>
      <c r="K966" s="5">
        <f t="shared" si="37"/>
        <v>964</v>
      </c>
      <c r="L966" s="5">
        <v>1.5259401923509103E-2</v>
      </c>
    </row>
    <row r="967" spans="1:12" x14ac:dyDescent="0.25">
      <c r="A967" s="1">
        <v>45132</v>
      </c>
      <c r="B967">
        <v>427.17999267578125</v>
      </c>
      <c r="C967">
        <v>430.8800048828125</v>
      </c>
      <c r="D967">
        <v>426.1300048828125</v>
      </c>
      <c r="E967">
        <v>427.70001220703125</v>
      </c>
      <c r="F967">
        <v>427.70001220703125</v>
      </c>
      <c r="G967">
        <v>4859800</v>
      </c>
      <c r="I967" s="5">
        <f t="shared" si="36"/>
        <v>-1.5652529377579297E-3</v>
      </c>
      <c r="K967" s="5">
        <f t="shared" si="37"/>
        <v>965</v>
      </c>
      <c r="L967" s="5">
        <v>1.5289406027250563E-2</v>
      </c>
    </row>
    <row r="968" spans="1:12" x14ac:dyDescent="0.25">
      <c r="A968" s="1">
        <v>45133</v>
      </c>
      <c r="B968">
        <v>424.20001220703125</v>
      </c>
      <c r="C968">
        <v>425.260009765625</v>
      </c>
      <c r="D968">
        <v>415.58999633789063</v>
      </c>
      <c r="E968">
        <v>422.67001342773438</v>
      </c>
      <c r="F968">
        <v>422.67001342773438</v>
      </c>
      <c r="G968">
        <v>6009200</v>
      </c>
      <c r="I968" s="5">
        <f t="shared" si="36"/>
        <v>-1.1830279271837411E-2</v>
      </c>
      <c r="K968" s="5">
        <f t="shared" si="37"/>
        <v>966</v>
      </c>
      <c r="L968" s="5">
        <v>1.5289525722647168E-2</v>
      </c>
    </row>
    <row r="969" spans="1:12" x14ac:dyDescent="0.25">
      <c r="A969" s="1">
        <v>45134</v>
      </c>
      <c r="B969">
        <v>426.89999389648438</v>
      </c>
      <c r="C969">
        <v>427.51998901367188</v>
      </c>
      <c r="D969">
        <v>411.8800048828125</v>
      </c>
      <c r="E969">
        <v>413.17001342773438</v>
      </c>
      <c r="F969">
        <v>413.17001342773438</v>
      </c>
      <c r="G969">
        <v>6594500</v>
      </c>
      <c r="I969" s="5">
        <f t="shared" si="36"/>
        <v>-2.273260145898252E-2</v>
      </c>
      <c r="K969" s="5">
        <f t="shared" si="37"/>
        <v>967</v>
      </c>
      <c r="L969" s="5">
        <v>1.5476048765313397E-2</v>
      </c>
    </row>
    <row r="970" spans="1:12" x14ac:dyDescent="0.25">
      <c r="A970" s="1">
        <v>45135</v>
      </c>
      <c r="B970">
        <v>415.55999755859375</v>
      </c>
      <c r="C970">
        <v>427.47000122070313</v>
      </c>
      <c r="D970">
        <v>413.760009765625</v>
      </c>
      <c r="E970">
        <v>425.77999877929688</v>
      </c>
      <c r="F970">
        <v>425.77999877929688</v>
      </c>
      <c r="G970">
        <v>6424200</v>
      </c>
      <c r="I970" s="5">
        <f t="shared" si="36"/>
        <v>3.006361503746233E-2</v>
      </c>
      <c r="K970" s="5">
        <f t="shared" si="37"/>
        <v>968</v>
      </c>
      <c r="L970" s="5">
        <v>1.5521012234967982E-2</v>
      </c>
    </row>
    <row r="971" spans="1:12" x14ac:dyDescent="0.25">
      <c r="A971" s="1">
        <v>45138</v>
      </c>
      <c r="B971">
        <v>426.510009765625</v>
      </c>
      <c r="C971">
        <v>439.1300048828125</v>
      </c>
      <c r="D971">
        <v>426.29998779296875</v>
      </c>
      <c r="E971">
        <v>438.97000122070313</v>
      </c>
      <c r="F971">
        <v>438.97000122070313</v>
      </c>
      <c r="G971">
        <v>6587600</v>
      </c>
      <c r="I971" s="5">
        <f t="shared" si="36"/>
        <v>3.0508298310466295E-2</v>
      </c>
      <c r="K971" s="5">
        <f t="shared" si="37"/>
        <v>969</v>
      </c>
      <c r="L971" s="5">
        <v>1.5640958217976272E-2</v>
      </c>
    </row>
    <row r="972" spans="1:12" x14ac:dyDescent="0.25">
      <c r="A972" s="1">
        <v>45139</v>
      </c>
      <c r="B972">
        <v>437.3699951171875</v>
      </c>
      <c r="C972">
        <v>445.25</v>
      </c>
      <c r="D972">
        <v>431.39999389648438</v>
      </c>
      <c r="E972">
        <v>438.6199951171875</v>
      </c>
      <c r="F972">
        <v>438.6199951171875</v>
      </c>
      <c r="G972">
        <v>5711500</v>
      </c>
      <c r="I972" s="5">
        <f t="shared" si="36"/>
        <v>-7.9765294393460402E-4</v>
      </c>
      <c r="K972" s="5">
        <f t="shared" si="37"/>
        <v>970</v>
      </c>
      <c r="L972" s="5">
        <v>1.5869892265096972E-2</v>
      </c>
    </row>
    <row r="973" spans="1:12" x14ac:dyDescent="0.25">
      <c r="A973" s="1">
        <v>45140</v>
      </c>
      <c r="B973">
        <v>435.23001098632813</v>
      </c>
      <c r="C973">
        <v>435.55999755859375</v>
      </c>
      <c r="D973">
        <v>426.55999755859375</v>
      </c>
      <c r="E973">
        <v>429.70001220703125</v>
      </c>
      <c r="F973">
        <v>429.70001220703125</v>
      </c>
      <c r="G973">
        <v>4912200</v>
      </c>
      <c r="I973" s="5">
        <f t="shared" si="36"/>
        <v>-2.0546104257929545E-2</v>
      </c>
      <c r="K973" s="5">
        <f t="shared" si="37"/>
        <v>971</v>
      </c>
      <c r="L973" s="5">
        <v>1.5962844521510759E-2</v>
      </c>
    </row>
    <row r="974" spans="1:12" x14ac:dyDescent="0.25">
      <c r="A974" s="1">
        <v>45141</v>
      </c>
      <c r="B974">
        <v>427.79998779296875</v>
      </c>
      <c r="C974">
        <v>441.92999267578125</v>
      </c>
      <c r="D974">
        <v>427.19000244140625</v>
      </c>
      <c r="E974">
        <v>431</v>
      </c>
      <c r="F974">
        <v>431</v>
      </c>
      <c r="G974">
        <v>6243900</v>
      </c>
      <c r="I974" s="5">
        <f t="shared" si="36"/>
        <v>3.0207709145343474E-3</v>
      </c>
      <c r="K974" s="5">
        <f t="shared" si="37"/>
        <v>972</v>
      </c>
      <c r="L974" s="5">
        <v>1.5980164400740824E-2</v>
      </c>
    </row>
    <row r="975" spans="1:12" x14ac:dyDescent="0.25">
      <c r="A975" s="1">
        <v>45142</v>
      </c>
      <c r="B975">
        <v>433.05999755859375</v>
      </c>
      <c r="C975">
        <v>436.5</v>
      </c>
      <c r="D975">
        <v>426.26998901367188</v>
      </c>
      <c r="E975">
        <v>431.60000610351563</v>
      </c>
      <c r="F975">
        <v>431.60000610351563</v>
      </c>
      <c r="G975">
        <v>5439700</v>
      </c>
      <c r="I975" s="5">
        <f t="shared" si="36"/>
        <v>1.3911574218342482E-3</v>
      </c>
      <c r="K975" s="5">
        <f t="shared" si="37"/>
        <v>973</v>
      </c>
      <c r="L975" s="5">
        <v>1.619758689968407E-2</v>
      </c>
    </row>
    <row r="976" spans="1:12" x14ac:dyDescent="0.25">
      <c r="A976" s="1">
        <v>45145</v>
      </c>
      <c r="B976">
        <v>436.45999145507813</v>
      </c>
      <c r="C976">
        <v>441.1099853515625</v>
      </c>
      <c r="D976">
        <v>428.91000366210938</v>
      </c>
      <c r="E976">
        <v>440.760009765625</v>
      </c>
      <c r="F976">
        <v>440.760009765625</v>
      </c>
      <c r="G976">
        <v>4781300</v>
      </c>
      <c r="I976" s="5">
        <f t="shared" si="36"/>
        <v>2.1001284250326244E-2</v>
      </c>
      <c r="K976" s="5">
        <f t="shared" si="37"/>
        <v>974</v>
      </c>
      <c r="L976" s="5">
        <v>1.622725794378739E-2</v>
      </c>
    </row>
    <row r="977" spans="1:12" x14ac:dyDescent="0.25">
      <c r="A977" s="1">
        <v>45146</v>
      </c>
      <c r="B977">
        <v>440.3599853515625</v>
      </c>
      <c r="C977">
        <v>443.57000732421875</v>
      </c>
      <c r="D977">
        <v>435.10000610351563</v>
      </c>
      <c r="E977">
        <v>438.29998779296875</v>
      </c>
      <c r="F977">
        <v>438.29998779296875</v>
      </c>
      <c r="G977">
        <v>3767200</v>
      </c>
      <c r="I977" s="5">
        <f t="shared" si="36"/>
        <v>-5.5969522020035863E-3</v>
      </c>
      <c r="K977" s="5">
        <f t="shared" si="37"/>
        <v>975</v>
      </c>
      <c r="L977" s="5">
        <v>1.6239039352488646E-2</v>
      </c>
    </row>
    <row r="978" spans="1:12" x14ac:dyDescent="0.25">
      <c r="A978" s="1">
        <v>45147</v>
      </c>
      <c r="B978">
        <v>439.739990234375</v>
      </c>
      <c r="C978">
        <v>440.6199951171875</v>
      </c>
      <c r="D978">
        <v>427.58999633789063</v>
      </c>
      <c r="E978">
        <v>428.89999389648438</v>
      </c>
      <c r="F978">
        <v>428.89999389648438</v>
      </c>
      <c r="G978">
        <v>3846600</v>
      </c>
      <c r="I978" s="5">
        <f t="shared" si="36"/>
        <v>-2.1679802281696286E-2</v>
      </c>
      <c r="K978" s="5">
        <f t="shared" si="37"/>
        <v>976</v>
      </c>
      <c r="L978" s="5">
        <v>1.6315039874426257E-2</v>
      </c>
    </row>
    <row r="979" spans="1:12" x14ac:dyDescent="0.25">
      <c r="A979" s="1">
        <v>45148</v>
      </c>
      <c r="B979">
        <v>431.1199951171875</v>
      </c>
      <c r="C979">
        <v>438.1199951171875</v>
      </c>
      <c r="D979">
        <v>428.69000244140625</v>
      </c>
      <c r="E979">
        <v>429.98001098632813</v>
      </c>
      <c r="F979">
        <v>429.98001098632813</v>
      </c>
      <c r="G979">
        <v>5467600</v>
      </c>
      <c r="I979" s="5">
        <f t="shared" si="36"/>
        <v>2.5149442365819149E-3</v>
      </c>
      <c r="K979" s="5">
        <f t="shared" si="37"/>
        <v>977</v>
      </c>
      <c r="L979" s="5">
        <v>1.6345575372688086E-2</v>
      </c>
    </row>
    <row r="980" spans="1:12" x14ac:dyDescent="0.25">
      <c r="A980" s="1">
        <v>45149</v>
      </c>
      <c r="B980">
        <v>428.98001098632813</v>
      </c>
      <c r="C980">
        <v>430.6300048828125</v>
      </c>
      <c r="D980">
        <v>421.32998657226563</v>
      </c>
      <c r="E980">
        <v>421.66000366210938</v>
      </c>
      <c r="F980">
        <v>421.66000366210938</v>
      </c>
      <c r="G980">
        <v>3925200</v>
      </c>
      <c r="I980" s="5">
        <f t="shared" si="36"/>
        <v>-1.9539410751961202E-2</v>
      </c>
      <c r="K980" s="5">
        <f t="shared" si="37"/>
        <v>978</v>
      </c>
      <c r="L980" s="5">
        <v>1.6354924300892519E-2</v>
      </c>
    </row>
    <row r="981" spans="1:12" x14ac:dyDescent="0.25">
      <c r="A981" s="1">
        <v>45152</v>
      </c>
      <c r="B981">
        <v>421.989990234375</v>
      </c>
      <c r="C981">
        <v>428.85000610351563</v>
      </c>
      <c r="D981">
        <v>418.77999877929688</v>
      </c>
      <c r="E981">
        <v>427.77999877929688</v>
      </c>
      <c r="F981">
        <v>427.77999877929688</v>
      </c>
      <c r="G981">
        <v>3966000</v>
      </c>
      <c r="I981" s="5">
        <f t="shared" si="36"/>
        <v>1.440973110690642E-2</v>
      </c>
      <c r="K981" s="5">
        <f t="shared" si="37"/>
        <v>979</v>
      </c>
      <c r="L981" s="5">
        <v>1.6359315886377637E-2</v>
      </c>
    </row>
    <row r="982" spans="1:12" x14ac:dyDescent="0.25">
      <c r="A982" s="1">
        <v>45153</v>
      </c>
      <c r="B982">
        <v>424.41000366210938</v>
      </c>
      <c r="C982">
        <v>429.1199951171875</v>
      </c>
      <c r="D982">
        <v>421.04000854492188</v>
      </c>
      <c r="E982">
        <v>423.70001220703125</v>
      </c>
      <c r="F982">
        <v>423.70001220703125</v>
      </c>
      <c r="G982">
        <v>3368000</v>
      </c>
      <c r="I982" s="5">
        <f t="shared" si="36"/>
        <v>-9.5833554406695078E-3</v>
      </c>
      <c r="K982" s="5">
        <f t="shared" si="37"/>
        <v>980</v>
      </c>
      <c r="L982" s="5">
        <v>1.6532718800567916E-2</v>
      </c>
    </row>
    <row r="983" spans="1:12" x14ac:dyDescent="0.25">
      <c r="A983" s="1">
        <v>45154</v>
      </c>
      <c r="B983">
        <v>423.73001098632813</v>
      </c>
      <c r="C983">
        <v>424.510009765625</v>
      </c>
      <c r="D983">
        <v>415.25</v>
      </c>
      <c r="E983">
        <v>415.45001220703125</v>
      </c>
      <c r="F983">
        <v>415.45001220703125</v>
      </c>
      <c r="G983">
        <v>3967000</v>
      </c>
      <c r="I983" s="5">
        <f t="shared" si="36"/>
        <v>-1.966338694940364E-2</v>
      </c>
      <c r="K983" s="5">
        <f t="shared" si="37"/>
        <v>981</v>
      </c>
      <c r="L983" s="5">
        <v>1.6638504658847655E-2</v>
      </c>
    </row>
    <row r="984" spans="1:12" x14ac:dyDescent="0.25">
      <c r="A984" s="1">
        <v>45155</v>
      </c>
      <c r="B984">
        <v>415</v>
      </c>
      <c r="C984">
        <v>415.239990234375</v>
      </c>
      <c r="D984">
        <v>401.57998657226563</v>
      </c>
      <c r="E984">
        <v>403</v>
      </c>
      <c r="F984">
        <v>403</v>
      </c>
      <c r="G984">
        <v>6031500</v>
      </c>
      <c r="I984" s="5">
        <f t="shared" si="36"/>
        <v>-3.0425737546979369E-2</v>
      </c>
      <c r="K984" s="5">
        <f t="shared" si="37"/>
        <v>982</v>
      </c>
      <c r="L984" s="5">
        <v>1.6644312937253391E-2</v>
      </c>
    </row>
    <row r="985" spans="1:12" x14ac:dyDescent="0.25">
      <c r="A985" s="1">
        <v>45156</v>
      </c>
      <c r="B985">
        <v>399.32998657226563</v>
      </c>
      <c r="C985">
        <v>406.51998901367188</v>
      </c>
      <c r="D985">
        <v>398.14999389648438</v>
      </c>
      <c r="E985">
        <v>404.52999877929688</v>
      </c>
      <c r="F985">
        <v>404.52999877929688</v>
      </c>
      <c r="G985">
        <v>4309200</v>
      </c>
      <c r="I985" s="5">
        <f t="shared" si="36"/>
        <v>3.7893344207332474E-3</v>
      </c>
      <c r="K985" s="5">
        <f t="shared" si="37"/>
        <v>983</v>
      </c>
      <c r="L985" s="5">
        <v>1.6649980551398481E-2</v>
      </c>
    </row>
    <row r="986" spans="1:12" x14ac:dyDescent="0.25">
      <c r="A986" s="1">
        <v>45159</v>
      </c>
      <c r="B986">
        <v>402.23001098632813</v>
      </c>
      <c r="C986">
        <v>409.6099853515625</v>
      </c>
      <c r="D986">
        <v>399.5</v>
      </c>
      <c r="E986">
        <v>408.29000854492188</v>
      </c>
      <c r="F986">
        <v>408.29000854492188</v>
      </c>
      <c r="G986">
        <v>3861600</v>
      </c>
      <c r="I986" s="5">
        <f t="shared" si="36"/>
        <v>9.2518307914964508E-3</v>
      </c>
      <c r="K986" s="5">
        <f t="shared" si="37"/>
        <v>984</v>
      </c>
      <c r="L986" s="5">
        <v>1.672251458655943E-2</v>
      </c>
    </row>
    <row r="987" spans="1:12" x14ac:dyDescent="0.25">
      <c r="A987" s="1">
        <v>45160</v>
      </c>
      <c r="B987">
        <v>409</v>
      </c>
      <c r="C987">
        <v>415.739990234375</v>
      </c>
      <c r="D987">
        <v>407.39999389648438</v>
      </c>
      <c r="E987">
        <v>413.17001342773438</v>
      </c>
      <c r="F987">
        <v>413.17001342773438</v>
      </c>
      <c r="G987">
        <v>3603300</v>
      </c>
      <c r="I987" s="5">
        <f t="shared" si="36"/>
        <v>1.1881435884236397E-2</v>
      </c>
      <c r="K987" s="5">
        <f t="shared" si="37"/>
        <v>985</v>
      </c>
      <c r="L987" s="5">
        <v>1.6749468446287174E-2</v>
      </c>
    </row>
    <row r="988" spans="1:12" x14ac:dyDescent="0.25">
      <c r="A988" s="1">
        <v>45161</v>
      </c>
      <c r="B988">
        <v>418.39999389648438</v>
      </c>
      <c r="C988">
        <v>437.01998901367188</v>
      </c>
      <c r="D988">
        <v>417.70999145507813</v>
      </c>
      <c r="E988">
        <v>427.54998779296875</v>
      </c>
      <c r="F988">
        <v>427.54998779296875</v>
      </c>
      <c r="G988">
        <v>8174700</v>
      </c>
      <c r="I988" s="5">
        <f t="shared" si="36"/>
        <v>3.4212049007695082E-2</v>
      </c>
      <c r="K988" s="5">
        <f t="shared" si="37"/>
        <v>986</v>
      </c>
      <c r="L988" s="5">
        <v>1.6771010628049848E-2</v>
      </c>
    </row>
    <row r="989" spans="1:12" x14ac:dyDescent="0.25">
      <c r="A989" s="1">
        <v>45162</v>
      </c>
      <c r="B989">
        <v>425.41000366210938</v>
      </c>
      <c r="C989">
        <v>427.58999633789063</v>
      </c>
      <c r="D989">
        <v>406.17001342773438</v>
      </c>
      <c r="E989">
        <v>406.92999267578125</v>
      </c>
      <c r="F989">
        <v>406.92999267578125</v>
      </c>
      <c r="G989">
        <v>5687800</v>
      </c>
      <c r="I989" s="5">
        <f t="shared" si="36"/>
        <v>-4.9430049570964293E-2</v>
      </c>
      <c r="K989" s="5">
        <f t="shared" si="37"/>
        <v>987</v>
      </c>
      <c r="L989" s="5">
        <v>1.6777427248057305E-2</v>
      </c>
    </row>
    <row r="990" spans="1:12" x14ac:dyDescent="0.25">
      <c r="A990" s="1">
        <v>45163</v>
      </c>
      <c r="B990">
        <v>412</v>
      </c>
      <c r="C990">
        <v>419.25</v>
      </c>
      <c r="D990">
        <v>407.55999755859375</v>
      </c>
      <c r="E990">
        <v>416.02999877929688</v>
      </c>
      <c r="F990">
        <v>416.02999877929688</v>
      </c>
      <c r="G990">
        <v>5390900</v>
      </c>
      <c r="I990" s="5">
        <f t="shared" si="36"/>
        <v>2.2116207631638456E-2</v>
      </c>
      <c r="K990" s="5">
        <f t="shared" si="37"/>
        <v>988</v>
      </c>
      <c r="L990" s="5">
        <v>1.6793634952653187E-2</v>
      </c>
    </row>
    <row r="991" spans="1:12" x14ac:dyDescent="0.25">
      <c r="A991" s="1">
        <v>45166</v>
      </c>
      <c r="B991">
        <v>418.04000854492188</v>
      </c>
      <c r="C991">
        <v>419.82998657226563</v>
      </c>
      <c r="D991">
        <v>413.26998901367188</v>
      </c>
      <c r="E991">
        <v>418.05999755859375</v>
      </c>
      <c r="F991">
        <v>418.05999755859375</v>
      </c>
      <c r="G991">
        <v>2928600</v>
      </c>
      <c r="I991" s="5">
        <f t="shared" si="36"/>
        <v>4.8675869422715552E-3</v>
      </c>
      <c r="K991" s="5">
        <f t="shared" si="37"/>
        <v>989</v>
      </c>
      <c r="L991" s="5">
        <v>1.6892824416879042E-2</v>
      </c>
    </row>
    <row r="992" spans="1:12" x14ac:dyDescent="0.25">
      <c r="A992" s="1">
        <v>45167</v>
      </c>
      <c r="B992">
        <v>416</v>
      </c>
      <c r="C992">
        <v>432.17001342773438</v>
      </c>
      <c r="D992">
        <v>414.5</v>
      </c>
      <c r="E992">
        <v>429.989990234375</v>
      </c>
      <c r="F992">
        <v>429.989990234375</v>
      </c>
      <c r="G992">
        <v>4486700</v>
      </c>
      <c r="I992" s="5">
        <f t="shared" si="36"/>
        <v>2.8136972838159836E-2</v>
      </c>
      <c r="K992" s="5">
        <f t="shared" si="37"/>
        <v>990</v>
      </c>
      <c r="L992" s="5">
        <v>1.6935570559377104E-2</v>
      </c>
    </row>
    <row r="993" spans="1:12" x14ac:dyDescent="0.25">
      <c r="A993" s="1">
        <v>45168</v>
      </c>
      <c r="B993">
        <v>430.85000610351563</v>
      </c>
      <c r="C993">
        <v>438.16000366210938</v>
      </c>
      <c r="D993">
        <v>428.35000610351563</v>
      </c>
      <c r="E993">
        <v>434.67001342773438</v>
      </c>
      <c r="F993">
        <v>434.67001342773438</v>
      </c>
      <c r="G993">
        <v>3625400</v>
      </c>
      <c r="I993" s="5">
        <f t="shared" si="36"/>
        <v>1.0825223500580515E-2</v>
      </c>
      <c r="K993" s="5">
        <f t="shared" si="37"/>
        <v>991</v>
      </c>
      <c r="L993" s="5">
        <v>1.7027650029444938E-2</v>
      </c>
    </row>
    <row r="994" spans="1:12" x14ac:dyDescent="0.25">
      <c r="A994" s="1">
        <v>45169</v>
      </c>
      <c r="B994">
        <v>431.23001098632813</v>
      </c>
      <c r="C994">
        <v>437.14999389648438</v>
      </c>
      <c r="D994">
        <v>431.23001098632813</v>
      </c>
      <c r="E994">
        <v>433.67999267578125</v>
      </c>
      <c r="F994">
        <v>433.67999267578125</v>
      </c>
      <c r="G994">
        <v>3803000</v>
      </c>
      <c r="I994" s="5">
        <f t="shared" si="36"/>
        <v>-2.2802353289800141E-3</v>
      </c>
      <c r="K994" s="5">
        <f t="shared" si="37"/>
        <v>992</v>
      </c>
      <c r="L994" s="5">
        <v>1.709196344270356E-2</v>
      </c>
    </row>
    <row r="995" spans="1:12" x14ac:dyDescent="0.25">
      <c r="A995" s="1">
        <v>45170</v>
      </c>
      <c r="B995">
        <v>437.73001098632813</v>
      </c>
      <c r="C995">
        <v>445.5</v>
      </c>
      <c r="D995">
        <v>435.92999267578125</v>
      </c>
      <c r="E995">
        <v>439.8800048828125</v>
      </c>
      <c r="F995">
        <v>439.8800048828125</v>
      </c>
      <c r="G995">
        <v>4792100</v>
      </c>
      <c r="I995" s="5">
        <f t="shared" si="36"/>
        <v>1.4195055479512072E-2</v>
      </c>
      <c r="K995" s="5">
        <f t="shared" si="37"/>
        <v>993</v>
      </c>
      <c r="L995" s="5">
        <v>1.7109928238872425E-2</v>
      </c>
    </row>
    <row r="996" spans="1:12" x14ac:dyDescent="0.25">
      <c r="A996" s="1">
        <v>45174</v>
      </c>
      <c r="B996">
        <v>438.3900146484375</v>
      </c>
      <c r="C996">
        <v>453.45001220703125</v>
      </c>
      <c r="D996">
        <v>438</v>
      </c>
      <c r="E996">
        <v>448.67999267578125</v>
      </c>
      <c r="F996">
        <v>448.67999267578125</v>
      </c>
      <c r="G996">
        <v>6155900</v>
      </c>
      <c r="I996" s="5">
        <f t="shared" si="36"/>
        <v>1.9807948910035296E-2</v>
      </c>
      <c r="K996" s="5">
        <f t="shared" si="37"/>
        <v>994</v>
      </c>
      <c r="L996" s="5">
        <v>1.715579706274481E-2</v>
      </c>
    </row>
    <row r="997" spans="1:12" x14ac:dyDescent="0.25">
      <c r="A997" s="1">
        <v>45175</v>
      </c>
      <c r="B997">
        <v>448.6099853515625</v>
      </c>
      <c r="C997">
        <v>451.3900146484375</v>
      </c>
      <c r="D997">
        <v>440.489990234375</v>
      </c>
      <c r="E997">
        <v>445.760009765625</v>
      </c>
      <c r="F997">
        <v>445.760009765625</v>
      </c>
      <c r="G997">
        <v>3862300</v>
      </c>
      <c r="I997" s="5">
        <f t="shared" si="36"/>
        <v>-6.529209953847594E-3</v>
      </c>
      <c r="K997" s="5">
        <f t="shared" si="37"/>
        <v>995</v>
      </c>
      <c r="L997" s="5">
        <v>1.7180975219383852E-2</v>
      </c>
    </row>
    <row r="998" spans="1:12" x14ac:dyDescent="0.25">
      <c r="A998" s="1">
        <v>45176</v>
      </c>
      <c r="B998">
        <v>441.14999389648438</v>
      </c>
      <c r="C998">
        <v>444.60000610351563</v>
      </c>
      <c r="D998">
        <v>436.70001220703125</v>
      </c>
      <c r="E998">
        <v>443.1400146484375</v>
      </c>
      <c r="F998">
        <v>443.1400146484375</v>
      </c>
      <c r="G998">
        <v>2922700</v>
      </c>
      <c r="I998" s="5">
        <f t="shared" si="36"/>
        <v>-5.8949322361166309E-3</v>
      </c>
      <c r="K998" s="5">
        <f t="shared" si="37"/>
        <v>996</v>
      </c>
      <c r="L998" s="5">
        <v>1.724231998624523E-2</v>
      </c>
    </row>
    <row r="999" spans="1:12" x14ac:dyDescent="0.25">
      <c r="A999" s="1">
        <v>45177</v>
      </c>
      <c r="B999">
        <v>443.55999755859375</v>
      </c>
      <c r="C999">
        <v>446.80999755859375</v>
      </c>
      <c r="D999">
        <v>438.85000610351563</v>
      </c>
      <c r="E999">
        <v>442.79998779296875</v>
      </c>
      <c r="F999">
        <v>442.79998779296875</v>
      </c>
      <c r="G999">
        <v>2697500</v>
      </c>
      <c r="I999" s="5">
        <f t="shared" si="36"/>
        <v>-7.6760699647291525E-4</v>
      </c>
      <c r="K999" s="5">
        <f t="shared" si="37"/>
        <v>997</v>
      </c>
      <c r="L999" s="5">
        <v>1.7280287193861713E-2</v>
      </c>
    </row>
    <row r="1000" spans="1:12" x14ac:dyDescent="0.25">
      <c r="A1000" s="1">
        <v>45180</v>
      </c>
      <c r="B1000">
        <v>443.07000732421875</v>
      </c>
      <c r="C1000">
        <v>449.8900146484375</v>
      </c>
      <c r="D1000">
        <v>442.75</v>
      </c>
      <c r="E1000">
        <v>445.3599853515625</v>
      </c>
      <c r="F1000">
        <v>445.3599853515625</v>
      </c>
      <c r="G1000">
        <v>2913800</v>
      </c>
      <c r="I1000" s="5">
        <f t="shared" si="36"/>
        <v>5.7647377173632598E-3</v>
      </c>
      <c r="K1000" s="5">
        <f t="shared" si="37"/>
        <v>998</v>
      </c>
      <c r="L1000" s="5">
        <v>1.7287366770681663E-2</v>
      </c>
    </row>
    <row r="1001" spans="1:12" x14ac:dyDescent="0.25">
      <c r="A1001" s="1">
        <v>45181</v>
      </c>
      <c r="B1001">
        <v>442.85000610351563</v>
      </c>
      <c r="C1001">
        <v>445.44000244140625</v>
      </c>
      <c r="D1001">
        <v>434.1199951171875</v>
      </c>
      <c r="E1001">
        <v>434.69000244140625</v>
      </c>
      <c r="F1001">
        <v>434.69000244140625</v>
      </c>
      <c r="G1001">
        <v>3124000</v>
      </c>
      <c r="I1001" s="5">
        <f t="shared" si="36"/>
        <v>-2.4249772008281354E-2</v>
      </c>
      <c r="K1001" s="5">
        <f t="shared" si="37"/>
        <v>999</v>
      </c>
      <c r="L1001" s="5">
        <v>1.7290004509363445E-2</v>
      </c>
    </row>
    <row r="1002" spans="1:12" x14ac:dyDescent="0.25">
      <c r="A1002" s="1">
        <v>45182</v>
      </c>
      <c r="B1002">
        <v>435.5</v>
      </c>
      <c r="C1002">
        <v>438.39999389648438</v>
      </c>
      <c r="D1002">
        <v>410.69000244140625</v>
      </c>
      <c r="E1002">
        <v>412.239990234375</v>
      </c>
      <c r="F1002">
        <v>412.239990234375</v>
      </c>
      <c r="G1002">
        <v>11843000</v>
      </c>
      <c r="I1002" s="5">
        <f t="shared" si="36"/>
        <v>-5.3027458644947269E-2</v>
      </c>
      <c r="K1002" s="5">
        <f t="shared" si="37"/>
        <v>1000</v>
      </c>
      <c r="L1002" s="5">
        <v>1.7385725433165147E-2</v>
      </c>
    </row>
    <row r="1003" spans="1:12" x14ac:dyDescent="0.25">
      <c r="A1003" s="1">
        <v>45183</v>
      </c>
      <c r="B1003">
        <v>410.39999389648438</v>
      </c>
      <c r="C1003">
        <v>411.3900146484375</v>
      </c>
      <c r="D1003">
        <v>400</v>
      </c>
      <c r="E1003">
        <v>400.489990234375</v>
      </c>
      <c r="F1003">
        <v>400.489990234375</v>
      </c>
      <c r="G1003">
        <v>10709000</v>
      </c>
      <c r="I1003" s="5">
        <f t="shared" si="36"/>
        <v>-2.8916907307312154E-2</v>
      </c>
      <c r="K1003" s="5">
        <f t="shared" si="37"/>
        <v>1001</v>
      </c>
      <c r="L1003" s="5">
        <v>1.7450857401408473E-2</v>
      </c>
    </row>
    <row r="1004" spans="1:12" x14ac:dyDescent="0.25">
      <c r="A1004" s="1">
        <v>45184</v>
      </c>
      <c r="B1004">
        <v>401</v>
      </c>
      <c r="C1004">
        <v>404.70001220703125</v>
      </c>
      <c r="D1004">
        <v>395.02999877929688</v>
      </c>
      <c r="E1004">
        <v>396.94000244140625</v>
      </c>
      <c r="F1004">
        <v>396.94000244140625</v>
      </c>
      <c r="G1004">
        <v>9110700</v>
      </c>
      <c r="I1004" s="5">
        <f t="shared" si="36"/>
        <v>-8.9036311088026635E-3</v>
      </c>
      <c r="K1004" s="5">
        <f t="shared" si="37"/>
        <v>1002</v>
      </c>
      <c r="L1004" s="5">
        <v>1.7461333799317094E-2</v>
      </c>
    </row>
    <row r="1005" spans="1:12" x14ac:dyDescent="0.25">
      <c r="A1005" s="1">
        <v>45187</v>
      </c>
      <c r="B1005">
        <v>395.5</v>
      </c>
      <c r="C1005">
        <v>399.47000122070313</v>
      </c>
      <c r="D1005">
        <v>392.60000610351563</v>
      </c>
      <c r="E1005">
        <v>394.39999389648438</v>
      </c>
      <c r="F1005">
        <v>394.39999389648438</v>
      </c>
      <c r="G1005">
        <v>4704700</v>
      </c>
      <c r="I1005" s="5">
        <f t="shared" si="36"/>
        <v>-6.4195346616449959E-3</v>
      </c>
      <c r="K1005" s="5">
        <f t="shared" si="37"/>
        <v>1003</v>
      </c>
      <c r="L1005" s="5">
        <v>1.7616047875269221E-2</v>
      </c>
    </row>
    <row r="1006" spans="1:12" x14ac:dyDescent="0.25">
      <c r="A1006" s="1">
        <v>45188</v>
      </c>
      <c r="B1006">
        <v>392.83999633789063</v>
      </c>
      <c r="C1006">
        <v>398.23001098632813</v>
      </c>
      <c r="D1006">
        <v>390.25</v>
      </c>
      <c r="E1006">
        <v>396.20001220703125</v>
      </c>
      <c r="F1006">
        <v>396.20001220703125</v>
      </c>
      <c r="G1006">
        <v>4076800</v>
      </c>
      <c r="I1006" s="5">
        <f t="shared" si="36"/>
        <v>4.5535578216909702E-3</v>
      </c>
      <c r="K1006" s="5">
        <f t="shared" si="37"/>
        <v>1004</v>
      </c>
      <c r="L1006" s="5">
        <v>1.7634121804977611E-2</v>
      </c>
    </row>
    <row r="1007" spans="1:12" x14ac:dyDescent="0.25">
      <c r="A1007" s="1">
        <v>45189</v>
      </c>
      <c r="B1007">
        <v>397.04998779296875</v>
      </c>
      <c r="C1007">
        <v>397.989990234375</v>
      </c>
      <c r="D1007">
        <v>386.1199951171875</v>
      </c>
      <c r="E1007">
        <v>386.29998779296875</v>
      </c>
      <c r="F1007">
        <v>386.29998779296875</v>
      </c>
      <c r="G1007">
        <v>3866600</v>
      </c>
      <c r="I1007" s="5">
        <f t="shared" si="36"/>
        <v>-2.5304927002364492E-2</v>
      </c>
      <c r="K1007" s="5">
        <f t="shared" si="37"/>
        <v>1005</v>
      </c>
      <c r="L1007" s="5">
        <v>1.7775090232072285E-2</v>
      </c>
    </row>
    <row r="1008" spans="1:12" x14ac:dyDescent="0.25">
      <c r="A1008" s="1">
        <v>45190</v>
      </c>
      <c r="B1008">
        <v>386.5</v>
      </c>
      <c r="C1008">
        <v>395.89999389648438</v>
      </c>
      <c r="D1008">
        <v>383.42001342773438</v>
      </c>
      <c r="E1008">
        <v>384.14999389648438</v>
      </c>
      <c r="F1008">
        <v>384.14999389648438</v>
      </c>
      <c r="G1008">
        <v>5547900</v>
      </c>
      <c r="I1008" s="5">
        <f t="shared" si="36"/>
        <v>-5.5811526470830562E-3</v>
      </c>
      <c r="K1008" s="5">
        <f t="shared" si="37"/>
        <v>1006</v>
      </c>
      <c r="L1008" s="5">
        <v>1.7851977712726636E-2</v>
      </c>
    </row>
    <row r="1009" spans="1:12" x14ac:dyDescent="0.25">
      <c r="A1009" s="1">
        <v>45191</v>
      </c>
      <c r="B1009">
        <v>385</v>
      </c>
      <c r="C1009">
        <v>386.8800048828125</v>
      </c>
      <c r="D1009">
        <v>378.3599853515625</v>
      </c>
      <c r="E1009">
        <v>379.80999755859375</v>
      </c>
      <c r="F1009">
        <v>379.80999755859375</v>
      </c>
      <c r="G1009">
        <v>3692800</v>
      </c>
      <c r="I1009" s="5">
        <f t="shared" si="36"/>
        <v>-1.1361964174496369E-2</v>
      </c>
      <c r="K1009" s="5">
        <f t="shared" si="37"/>
        <v>1007</v>
      </c>
      <c r="L1009" s="5">
        <v>1.794113322112938E-2</v>
      </c>
    </row>
    <row r="1010" spans="1:12" x14ac:dyDescent="0.25">
      <c r="A1010" s="1">
        <v>45194</v>
      </c>
      <c r="B1010">
        <v>382.89999389648438</v>
      </c>
      <c r="C1010">
        <v>386.6199951171875</v>
      </c>
      <c r="D1010">
        <v>380.80999755859375</v>
      </c>
      <c r="E1010">
        <v>384.79998779296875</v>
      </c>
      <c r="F1010">
        <v>384.79998779296875</v>
      </c>
      <c r="G1010">
        <v>3757300</v>
      </c>
      <c r="I1010" s="5">
        <f t="shared" si="36"/>
        <v>1.305256581771494E-2</v>
      </c>
      <c r="K1010" s="5">
        <f t="shared" si="37"/>
        <v>1008</v>
      </c>
      <c r="L1010" s="5">
        <v>1.8042939865777173E-2</v>
      </c>
    </row>
    <row r="1011" spans="1:12" x14ac:dyDescent="0.25">
      <c r="A1011" s="1">
        <v>45195</v>
      </c>
      <c r="B1011">
        <v>382.8800048828125</v>
      </c>
      <c r="C1011">
        <v>384.55999755859375</v>
      </c>
      <c r="D1011">
        <v>377.3599853515625</v>
      </c>
      <c r="E1011">
        <v>379.25</v>
      </c>
      <c r="F1011">
        <v>379.25</v>
      </c>
      <c r="G1011">
        <v>4089400</v>
      </c>
      <c r="I1011" s="5">
        <f t="shared" si="36"/>
        <v>-1.4528068839855112E-2</v>
      </c>
      <c r="K1011" s="5">
        <f t="shared" si="37"/>
        <v>1009</v>
      </c>
      <c r="L1011" s="5">
        <v>1.8124453265498209E-2</v>
      </c>
    </row>
    <row r="1012" spans="1:12" x14ac:dyDescent="0.25">
      <c r="A1012" s="1">
        <v>45196</v>
      </c>
      <c r="B1012">
        <v>382.39999389648438</v>
      </c>
      <c r="C1012">
        <v>384.22000122070313</v>
      </c>
      <c r="D1012">
        <v>376.25</v>
      </c>
      <c r="E1012">
        <v>377.58999633789063</v>
      </c>
      <c r="F1012">
        <v>377.58999633789063</v>
      </c>
      <c r="G1012">
        <v>3843500</v>
      </c>
      <c r="I1012" s="5">
        <f t="shared" si="36"/>
        <v>-4.386677057465465E-3</v>
      </c>
      <c r="K1012" s="5">
        <f t="shared" si="37"/>
        <v>1010</v>
      </c>
      <c r="L1012" s="5">
        <v>1.8142646641027094E-2</v>
      </c>
    </row>
    <row r="1013" spans="1:12" x14ac:dyDescent="0.25">
      <c r="A1013" s="1">
        <v>45197</v>
      </c>
      <c r="B1013">
        <v>375.60000610351563</v>
      </c>
      <c r="C1013">
        <v>378.95999145507813</v>
      </c>
      <c r="D1013">
        <v>371.10000610351563</v>
      </c>
      <c r="E1013">
        <v>376.3599853515625</v>
      </c>
      <c r="F1013">
        <v>376.3599853515625</v>
      </c>
      <c r="G1013">
        <v>4369900</v>
      </c>
      <c r="I1013" s="5">
        <f t="shared" si="36"/>
        <v>-3.2628479539572926E-3</v>
      </c>
      <c r="K1013" s="5">
        <f t="shared" si="37"/>
        <v>1011</v>
      </c>
      <c r="L1013" s="5">
        <v>1.8205903891250191E-2</v>
      </c>
    </row>
    <row r="1014" spans="1:12" x14ac:dyDescent="0.25">
      <c r="A1014" s="1">
        <v>45198</v>
      </c>
      <c r="B1014">
        <v>380</v>
      </c>
      <c r="C1014">
        <v>382.57998657226563</v>
      </c>
      <c r="D1014">
        <v>375.35000610351563</v>
      </c>
      <c r="E1014">
        <v>377.60000610351563</v>
      </c>
      <c r="F1014">
        <v>377.60000610351563</v>
      </c>
      <c r="G1014">
        <v>4198700</v>
      </c>
      <c r="I1014" s="5">
        <f t="shared" si="36"/>
        <v>3.2893572180980281E-3</v>
      </c>
      <c r="K1014" s="5">
        <f t="shared" si="37"/>
        <v>1012</v>
      </c>
      <c r="L1014" s="5">
        <v>1.8228620393996649E-2</v>
      </c>
    </row>
    <row r="1015" spans="1:12" x14ac:dyDescent="0.25">
      <c r="A1015" s="1">
        <v>45201</v>
      </c>
      <c r="B1015">
        <v>377.48001098632813</v>
      </c>
      <c r="C1015">
        <v>384.80999755859375</v>
      </c>
      <c r="D1015">
        <v>376.79998779296875</v>
      </c>
      <c r="E1015">
        <v>380.32998657226563</v>
      </c>
      <c r="F1015">
        <v>380.32998657226563</v>
      </c>
      <c r="G1015">
        <v>3102100</v>
      </c>
      <c r="I1015" s="5">
        <f t="shared" si="36"/>
        <v>7.2038111728659412E-3</v>
      </c>
      <c r="K1015" s="5">
        <f t="shared" si="37"/>
        <v>1013</v>
      </c>
      <c r="L1015" s="5">
        <v>1.8243759275377254E-2</v>
      </c>
    </row>
    <row r="1016" spans="1:12" x14ac:dyDescent="0.25">
      <c r="A1016" s="1">
        <v>45202</v>
      </c>
      <c r="B1016">
        <v>377.1099853515625</v>
      </c>
      <c r="C1016">
        <v>394.89999389648438</v>
      </c>
      <c r="D1016">
        <v>372.85000610351563</v>
      </c>
      <c r="E1016">
        <v>376.75</v>
      </c>
      <c r="F1016">
        <v>376.75</v>
      </c>
      <c r="G1016">
        <v>8878100</v>
      </c>
      <c r="I1016" s="5">
        <f t="shared" si="36"/>
        <v>-9.4574241015781772E-3</v>
      </c>
      <c r="K1016" s="5">
        <f t="shared" si="37"/>
        <v>1014</v>
      </c>
      <c r="L1016" s="5">
        <v>1.8252410857521176E-2</v>
      </c>
    </row>
    <row r="1017" spans="1:12" x14ac:dyDescent="0.25">
      <c r="A1017" s="1">
        <v>45203</v>
      </c>
      <c r="B1017">
        <v>376.5</v>
      </c>
      <c r="C1017">
        <v>380.22000122070313</v>
      </c>
      <c r="D1017">
        <v>373.57998657226563</v>
      </c>
      <c r="E1017">
        <v>376.89999389648438</v>
      </c>
      <c r="F1017">
        <v>376.89999389648438</v>
      </c>
      <c r="G1017">
        <v>4303700</v>
      </c>
      <c r="I1017" s="5">
        <f t="shared" si="36"/>
        <v>3.9804657249256756E-4</v>
      </c>
      <c r="K1017" s="5">
        <f t="shared" si="37"/>
        <v>1015</v>
      </c>
      <c r="L1017" s="5">
        <v>1.8370365552675873E-2</v>
      </c>
    </row>
    <row r="1018" spans="1:12" x14ac:dyDescent="0.25">
      <c r="A1018" s="1">
        <v>45204</v>
      </c>
      <c r="B1018">
        <v>378.010009765625</v>
      </c>
      <c r="C1018">
        <v>378.60000610351563</v>
      </c>
      <c r="D1018">
        <v>367.239990234375</v>
      </c>
      <c r="E1018">
        <v>372.58999633789063</v>
      </c>
      <c r="F1018">
        <v>372.58999633789063</v>
      </c>
      <c r="G1018">
        <v>5034800</v>
      </c>
      <c r="I1018" s="5">
        <f t="shared" si="36"/>
        <v>-1.1501274533193561E-2</v>
      </c>
      <c r="K1018" s="5">
        <f t="shared" si="37"/>
        <v>1016</v>
      </c>
      <c r="L1018" s="5">
        <v>1.8435728780885761E-2</v>
      </c>
    </row>
    <row r="1019" spans="1:12" x14ac:dyDescent="0.25">
      <c r="A1019" s="1">
        <v>45205</v>
      </c>
      <c r="B1019">
        <v>368.42999267578125</v>
      </c>
      <c r="C1019">
        <v>382.51998901367188</v>
      </c>
      <c r="D1019">
        <v>367.76998901367188</v>
      </c>
      <c r="E1019">
        <v>381.510009765625</v>
      </c>
      <c r="F1019">
        <v>381.510009765625</v>
      </c>
      <c r="G1019">
        <v>4773400</v>
      </c>
      <c r="I1019" s="5">
        <f t="shared" si="36"/>
        <v>2.3658478752158499E-2</v>
      </c>
      <c r="K1019" s="5">
        <f t="shared" si="37"/>
        <v>1017</v>
      </c>
      <c r="L1019" s="5">
        <v>1.8507339905860388E-2</v>
      </c>
    </row>
    <row r="1020" spans="1:12" x14ac:dyDescent="0.25">
      <c r="A1020" s="1">
        <v>45208</v>
      </c>
      <c r="B1020">
        <v>378.04998779296875</v>
      </c>
      <c r="C1020">
        <v>387.17001342773438</v>
      </c>
      <c r="D1020">
        <v>377.760009765625</v>
      </c>
      <c r="E1020">
        <v>385.95001220703125</v>
      </c>
      <c r="F1020">
        <v>385.95001220703125</v>
      </c>
      <c r="G1020">
        <v>3299800</v>
      </c>
      <c r="I1020" s="5">
        <f t="shared" si="36"/>
        <v>1.1570770726330223E-2</v>
      </c>
      <c r="K1020" s="5">
        <f t="shared" si="37"/>
        <v>1018</v>
      </c>
      <c r="L1020" s="5">
        <v>1.8619031428305542E-2</v>
      </c>
    </row>
    <row r="1021" spans="1:12" x14ac:dyDescent="0.25">
      <c r="A1021" s="1">
        <v>45209</v>
      </c>
      <c r="B1021">
        <v>385.57998657226563</v>
      </c>
      <c r="C1021">
        <v>388.70001220703125</v>
      </c>
      <c r="D1021">
        <v>372.25</v>
      </c>
      <c r="E1021">
        <v>373.32000732421875</v>
      </c>
      <c r="F1021">
        <v>373.32000732421875</v>
      </c>
      <c r="G1021">
        <v>7288900</v>
      </c>
      <c r="I1021" s="5">
        <f t="shared" si="36"/>
        <v>-3.3271878707703033E-2</v>
      </c>
      <c r="K1021" s="5">
        <f t="shared" si="37"/>
        <v>1019</v>
      </c>
      <c r="L1021" s="5">
        <v>1.8654466971889279E-2</v>
      </c>
    </row>
    <row r="1022" spans="1:12" x14ac:dyDescent="0.25">
      <c r="A1022" s="1">
        <v>45210</v>
      </c>
      <c r="B1022">
        <v>372.77999877929688</v>
      </c>
      <c r="C1022">
        <v>377.80999755859375</v>
      </c>
      <c r="D1022">
        <v>365.33999633789063</v>
      </c>
      <c r="E1022">
        <v>365.92999267578125</v>
      </c>
      <c r="F1022">
        <v>365.92999267578125</v>
      </c>
      <c r="G1022">
        <v>9151400</v>
      </c>
      <c r="I1022" s="5">
        <f t="shared" si="36"/>
        <v>-1.9993942053199227E-2</v>
      </c>
      <c r="K1022" s="5">
        <f t="shared" si="37"/>
        <v>1020</v>
      </c>
      <c r="L1022" s="5">
        <v>1.8654692977015695E-2</v>
      </c>
    </row>
    <row r="1023" spans="1:12" x14ac:dyDescent="0.25">
      <c r="A1023" s="1">
        <v>45211</v>
      </c>
      <c r="B1023">
        <v>366.48001098632813</v>
      </c>
      <c r="C1023">
        <v>368.82998657226563</v>
      </c>
      <c r="D1023">
        <v>359.04998779296875</v>
      </c>
      <c r="E1023">
        <v>361.20001220703125</v>
      </c>
      <c r="F1023">
        <v>361.20001220703125</v>
      </c>
      <c r="G1023">
        <v>7376100</v>
      </c>
      <c r="I1023" s="5">
        <f t="shared" si="36"/>
        <v>-1.3010182924892894E-2</v>
      </c>
      <c r="K1023" s="5">
        <f t="shared" si="37"/>
        <v>1021</v>
      </c>
      <c r="L1023" s="5">
        <v>1.8712982950492112E-2</v>
      </c>
    </row>
    <row r="1024" spans="1:12" x14ac:dyDescent="0.25">
      <c r="A1024" s="1">
        <v>45212</v>
      </c>
      <c r="B1024">
        <v>355.6400146484375</v>
      </c>
      <c r="C1024">
        <v>358.92999267578125</v>
      </c>
      <c r="D1024">
        <v>352.04998779296875</v>
      </c>
      <c r="E1024">
        <v>355.67999267578125</v>
      </c>
      <c r="F1024">
        <v>355.67999267578125</v>
      </c>
      <c r="G1024">
        <v>6312600</v>
      </c>
      <c r="I1024" s="5">
        <f t="shared" si="36"/>
        <v>-1.540042571486914E-2</v>
      </c>
      <c r="K1024" s="5">
        <f t="shared" si="37"/>
        <v>1022</v>
      </c>
      <c r="L1024" s="5">
        <v>1.8828138956260634E-2</v>
      </c>
    </row>
    <row r="1025" spans="1:12" x14ac:dyDescent="0.25">
      <c r="A1025" s="1">
        <v>45215</v>
      </c>
      <c r="B1025">
        <v>356.20999145507813</v>
      </c>
      <c r="C1025">
        <v>363.07998657226563</v>
      </c>
      <c r="D1025">
        <v>354.76998901367188</v>
      </c>
      <c r="E1025">
        <v>360.82000732421875</v>
      </c>
      <c r="F1025">
        <v>360.82000732421875</v>
      </c>
      <c r="G1025">
        <v>5128900</v>
      </c>
      <c r="I1025" s="5">
        <f t="shared" si="36"/>
        <v>1.4347809699744456E-2</v>
      </c>
      <c r="K1025" s="5">
        <f t="shared" si="37"/>
        <v>1023</v>
      </c>
      <c r="L1025" s="5">
        <v>1.8853403197373012E-2</v>
      </c>
    </row>
    <row r="1026" spans="1:12" x14ac:dyDescent="0.25">
      <c r="A1026" s="1">
        <v>45216</v>
      </c>
      <c r="B1026">
        <v>361.10000610351563</v>
      </c>
      <c r="C1026">
        <v>362.70001220703125</v>
      </c>
      <c r="D1026">
        <v>353.8900146484375</v>
      </c>
      <c r="E1026">
        <v>355.72000122070313</v>
      </c>
      <c r="F1026">
        <v>355.72000122070313</v>
      </c>
      <c r="G1026">
        <v>5908400</v>
      </c>
      <c r="I1026" s="5">
        <f t="shared" si="36"/>
        <v>-1.4235331360392952E-2</v>
      </c>
      <c r="K1026" s="5">
        <f t="shared" si="37"/>
        <v>1024</v>
      </c>
      <c r="L1026" s="5">
        <v>1.8927656651245642E-2</v>
      </c>
    </row>
    <row r="1027" spans="1:12" x14ac:dyDescent="0.25">
      <c r="A1027" s="1">
        <v>45217</v>
      </c>
      <c r="B1027">
        <v>351</v>
      </c>
      <c r="C1027">
        <v>354.79000854492188</v>
      </c>
      <c r="D1027">
        <v>344.73001098632813</v>
      </c>
      <c r="E1027">
        <v>346.19000244140625</v>
      </c>
      <c r="F1027">
        <v>346.19000244140625</v>
      </c>
      <c r="G1027">
        <v>11429600</v>
      </c>
      <c r="I1027" s="5">
        <f t="shared" si="36"/>
        <v>-2.7156143623487353E-2</v>
      </c>
      <c r="K1027" s="5">
        <f t="shared" si="37"/>
        <v>1025</v>
      </c>
      <c r="L1027" s="5">
        <v>1.8948291473130478E-2</v>
      </c>
    </row>
    <row r="1028" spans="1:12" x14ac:dyDescent="0.25">
      <c r="A1028" s="1">
        <v>45218</v>
      </c>
      <c r="B1028">
        <v>404.739990234375</v>
      </c>
      <c r="C1028">
        <v>408.95001220703125</v>
      </c>
      <c r="D1028">
        <v>392.260009765625</v>
      </c>
      <c r="E1028">
        <v>401.76998901367188</v>
      </c>
      <c r="F1028">
        <v>401.76998901367188</v>
      </c>
      <c r="G1028">
        <v>28074400</v>
      </c>
      <c r="I1028" s="5">
        <f t="shared" ref="I1028:I1091" si="38">LN(F1028/F1027)</f>
        <v>0.14889199389697941</v>
      </c>
      <c r="K1028" s="5">
        <f t="shared" ref="K1028:K1091" si="39">_xlfn.RANK.AVG(L1028,_xlfn.ANCHORARRAY($L$3),1)</f>
        <v>1026</v>
      </c>
      <c r="L1028" s="5">
        <v>1.9091932039746899E-2</v>
      </c>
    </row>
    <row r="1029" spans="1:12" x14ac:dyDescent="0.25">
      <c r="A1029" s="1">
        <v>45219</v>
      </c>
      <c r="B1029">
        <v>405.6300048828125</v>
      </c>
      <c r="C1029">
        <v>410.6400146484375</v>
      </c>
      <c r="D1029">
        <v>398.010009765625</v>
      </c>
      <c r="E1029">
        <v>400.95999145507813</v>
      </c>
      <c r="F1029">
        <v>400.95999145507813</v>
      </c>
      <c r="G1029">
        <v>12768900</v>
      </c>
      <c r="I1029" s="5">
        <f t="shared" si="38"/>
        <v>-2.0181078400265543E-3</v>
      </c>
      <c r="K1029" s="5">
        <f t="shared" si="39"/>
        <v>1027</v>
      </c>
      <c r="L1029" s="5">
        <v>1.9101227193572795E-2</v>
      </c>
    </row>
    <row r="1030" spans="1:12" x14ac:dyDescent="0.25">
      <c r="A1030" s="1">
        <v>45222</v>
      </c>
      <c r="B1030">
        <v>403.32000732421875</v>
      </c>
      <c r="C1030">
        <v>407.54000854492188</v>
      </c>
      <c r="D1030">
        <v>398.51998901367188</v>
      </c>
      <c r="E1030">
        <v>406.83999633789063</v>
      </c>
      <c r="F1030">
        <v>406.83999633789063</v>
      </c>
      <c r="G1030">
        <v>7390000</v>
      </c>
      <c r="I1030" s="5">
        <f t="shared" si="38"/>
        <v>1.455832835949966E-2</v>
      </c>
      <c r="K1030" s="5">
        <f t="shared" si="39"/>
        <v>1028</v>
      </c>
      <c r="L1030" s="5">
        <v>1.9141160192978391E-2</v>
      </c>
    </row>
    <row r="1031" spans="1:12" x14ac:dyDescent="0.25">
      <c r="A1031" s="1">
        <v>45223</v>
      </c>
      <c r="B1031">
        <v>409.67999267578125</v>
      </c>
      <c r="C1031">
        <v>416.69000244140625</v>
      </c>
      <c r="D1031">
        <v>408.3900146484375</v>
      </c>
      <c r="E1031">
        <v>413.73001098632813</v>
      </c>
      <c r="F1031">
        <v>413.73001098632813</v>
      </c>
      <c r="G1031">
        <v>6459200</v>
      </c>
      <c r="I1031" s="5">
        <f t="shared" si="38"/>
        <v>1.6793634952653187E-2</v>
      </c>
      <c r="K1031" s="5">
        <f t="shared" si="39"/>
        <v>1029</v>
      </c>
      <c r="L1031" s="5">
        <v>1.9214850728690655E-2</v>
      </c>
    </row>
    <row r="1032" spans="1:12" x14ac:dyDescent="0.25">
      <c r="A1032" s="1">
        <v>45224</v>
      </c>
      <c r="B1032">
        <v>416.01998901367188</v>
      </c>
      <c r="C1032">
        <v>418.83999633789063</v>
      </c>
      <c r="D1032">
        <v>410.1099853515625</v>
      </c>
      <c r="E1032">
        <v>411.25</v>
      </c>
      <c r="F1032">
        <v>411.25</v>
      </c>
      <c r="G1032">
        <v>6299600</v>
      </c>
      <c r="I1032" s="5">
        <f t="shared" si="38"/>
        <v>-6.0123116291164753E-3</v>
      </c>
      <c r="K1032" s="5">
        <f t="shared" si="39"/>
        <v>1030</v>
      </c>
      <c r="L1032" s="5">
        <v>1.9319023823479362E-2</v>
      </c>
    </row>
    <row r="1033" spans="1:12" x14ac:dyDescent="0.25">
      <c r="A1033" s="1">
        <v>45225</v>
      </c>
      <c r="B1033">
        <v>411.42001342773438</v>
      </c>
      <c r="C1033">
        <v>417.30999755859375</v>
      </c>
      <c r="D1033">
        <v>401.54000854492188</v>
      </c>
      <c r="E1033">
        <v>403.54000854492188</v>
      </c>
      <c r="F1033">
        <v>403.54000854492188</v>
      </c>
      <c r="G1033">
        <v>6849700</v>
      </c>
      <c r="I1033" s="5">
        <f t="shared" si="38"/>
        <v>-1.8925665518143179E-2</v>
      </c>
      <c r="K1033" s="5">
        <f t="shared" si="39"/>
        <v>1031</v>
      </c>
      <c r="L1033" s="5">
        <v>1.9405362552981434E-2</v>
      </c>
    </row>
    <row r="1034" spans="1:12" x14ac:dyDescent="0.25">
      <c r="A1034" s="1">
        <v>45226</v>
      </c>
      <c r="B1034">
        <v>406.42001342773438</v>
      </c>
      <c r="C1034">
        <v>410.20999145507813</v>
      </c>
      <c r="D1034">
        <v>395.6199951171875</v>
      </c>
      <c r="E1034">
        <v>397.8699951171875</v>
      </c>
      <c r="F1034">
        <v>397.8699951171875</v>
      </c>
      <c r="G1034">
        <v>4997600</v>
      </c>
      <c r="I1034" s="5">
        <f t="shared" si="38"/>
        <v>-1.415033007144314E-2</v>
      </c>
      <c r="K1034" s="5">
        <f t="shared" si="39"/>
        <v>1032</v>
      </c>
      <c r="L1034" s="5">
        <v>1.9544439738449593E-2</v>
      </c>
    </row>
    <row r="1035" spans="1:12" x14ac:dyDescent="0.25">
      <c r="A1035" s="1">
        <v>45229</v>
      </c>
      <c r="B1035">
        <v>402.35000610351563</v>
      </c>
      <c r="C1035">
        <v>412.82000732421875</v>
      </c>
      <c r="D1035">
        <v>399.41000366210938</v>
      </c>
      <c r="E1035">
        <v>410.07998657226563</v>
      </c>
      <c r="F1035">
        <v>410.07998657226563</v>
      </c>
      <c r="G1035">
        <v>5317100</v>
      </c>
      <c r="I1035" s="5">
        <f t="shared" si="38"/>
        <v>3.0226923381582633E-2</v>
      </c>
      <c r="K1035" s="5">
        <f t="shared" si="39"/>
        <v>1033</v>
      </c>
      <c r="L1035" s="5">
        <v>1.9608008536307179E-2</v>
      </c>
    </row>
    <row r="1036" spans="1:12" x14ac:dyDescent="0.25">
      <c r="A1036" s="1">
        <v>45230</v>
      </c>
      <c r="B1036">
        <v>409.239990234375</v>
      </c>
      <c r="C1036">
        <v>412.51998901367188</v>
      </c>
      <c r="D1036">
        <v>404.6300048828125</v>
      </c>
      <c r="E1036">
        <v>411.69000244140625</v>
      </c>
      <c r="F1036">
        <v>411.69000244140625</v>
      </c>
      <c r="G1036">
        <v>3877600</v>
      </c>
      <c r="I1036" s="5">
        <f t="shared" si="38"/>
        <v>3.9184150082788704E-3</v>
      </c>
      <c r="K1036" s="5">
        <f t="shared" si="39"/>
        <v>1034</v>
      </c>
      <c r="L1036" s="5">
        <v>1.9627342940268733E-2</v>
      </c>
    </row>
    <row r="1037" spans="1:12" x14ac:dyDescent="0.25">
      <c r="A1037" s="1">
        <v>45231</v>
      </c>
      <c r="B1037">
        <v>414.76998901367188</v>
      </c>
      <c r="C1037">
        <v>420.60000610351563</v>
      </c>
      <c r="D1037">
        <v>414.17999267578125</v>
      </c>
      <c r="E1037">
        <v>420.19000244140625</v>
      </c>
      <c r="F1037">
        <v>420.19000244140625</v>
      </c>
      <c r="G1037">
        <v>4806100</v>
      </c>
      <c r="I1037" s="5">
        <f t="shared" si="38"/>
        <v>2.0436350866767899E-2</v>
      </c>
      <c r="K1037" s="5">
        <f t="shared" si="39"/>
        <v>1035</v>
      </c>
      <c r="L1037" s="5">
        <v>1.9727202232395272E-2</v>
      </c>
    </row>
    <row r="1038" spans="1:12" x14ac:dyDescent="0.25">
      <c r="A1038" s="1">
        <v>45232</v>
      </c>
      <c r="B1038">
        <v>421.17001342773438</v>
      </c>
      <c r="C1038">
        <v>426.69000244140625</v>
      </c>
      <c r="D1038">
        <v>417.10000610351563</v>
      </c>
      <c r="E1038">
        <v>424.70999145507813</v>
      </c>
      <c r="F1038">
        <v>424.70999145507813</v>
      </c>
      <c r="G1038">
        <v>4476000</v>
      </c>
      <c r="I1038" s="5">
        <f t="shared" si="38"/>
        <v>1.0699567208463484E-2</v>
      </c>
      <c r="K1038" s="5">
        <f t="shared" si="39"/>
        <v>1036</v>
      </c>
      <c r="L1038" s="5">
        <v>1.9762394900812795E-2</v>
      </c>
    </row>
    <row r="1039" spans="1:12" x14ac:dyDescent="0.25">
      <c r="A1039" s="1">
        <v>45233</v>
      </c>
      <c r="B1039">
        <v>428.760009765625</v>
      </c>
      <c r="C1039">
        <v>434.82000732421875</v>
      </c>
      <c r="D1039">
        <v>425.52999877929688</v>
      </c>
      <c r="E1039">
        <v>432.3599853515625</v>
      </c>
      <c r="F1039">
        <v>432.3599853515625</v>
      </c>
      <c r="G1039">
        <v>3664800</v>
      </c>
      <c r="I1039" s="5">
        <f t="shared" si="38"/>
        <v>1.7851977712726636E-2</v>
      </c>
      <c r="K1039" s="5">
        <f t="shared" si="39"/>
        <v>1037</v>
      </c>
      <c r="L1039" s="5">
        <v>1.9773673016229294E-2</v>
      </c>
    </row>
    <row r="1040" spans="1:12" x14ac:dyDescent="0.25">
      <c r="A1040" s="1">
        <v>45236</v>
      </c>
      <c r="B1040">
        <v>434.3800048828125</v>
      </c>
      <c r="C1040">
        <v>435.02999877929688</v>
      </c>
      <c r="D1040">
        <v>429.6099853515625</v>
      </c>
      <c r="E1040">
        <v>434.739990234375</v>
      </c>
      <c r="F1040">
        <v>434.739990234375</v>
      </c>
      <c r="G1040">
        <v>3003200</v>
      </c>
      <c r="I1040" s="5">
        <f t="shared" si="38"/>
        <v>5.4895881137652968E-3</v>
      </c>
      <c r="K1040" s="5">
        <f t="shared" si="39"/>
        <v>1038</v>
      </c>
      <c r="L1040" s="5">
        <v>1.9791200965046364E-2</v>
      </c>
    </row>
    <row r="1041" spans="1:12" x14ac:dyDescent="0.25">
      <c r="A1041" s="1">
        <v>45237</v>
      </c>
      <c r="B1041">
        <v>436.17999267578125</v>
      </c>
      <c r="C1041">
        <v>437.6400146484375</v>
      </c>
      <c r="D1041">
        <v>431</v>
      </c>
      <c r="E1041">
        <v>434.6099853515625</v>
      </c>
      <c r="F1041">
        <v>434.6099853515625</v>
      </c>
      <c r="G1041">
        <v>3291100</v>
      </c>
      <c r="I1041" s="5">
        <f t="shared" si="38"/>
        <v>-2.9908526469780815E-4</v>
      </c>
      <c r="K1041" s="5">
        <f t="shared" si="39"/>
        <v>1039</v>
      </c>
      <c r="L1041" s="5">
        <v>1.9807948910035296E-2</v>
      </c>
    </row>
    <row r="1042" spans="1:12" x14ac:dyDescent="0.25">
      <c r="A1042" s="1">
        <v>45238</v>
      </c>
      <c r="B1042">
        <v>435</v>
      </c>
      <c r="C1042">
        <v>438.07000732421875</v>
      </c>
      <c r="D1042">
        <v>433.67999267578125</v>
      </c>
      <c r="E1042">
        <v>436.64999389648438</v>
      </c>
      <c r="F1042">
        <v>436.64999389648438</v>
      </c>
      <c r="G1042">
        <v>2356800</v>
      </c>
      <c r="I1042" s="5">
        <f t="shared" si="38"/>
        <v>4.6829013648092242E-3</v>
      </c>
      <c r="K1042" s="5">
        <f t="shared" si="39"/>
        <v>1040</v>
      </c>
      <c r="L1042" s="5">
        <v>1.9860326039617172E-2</v>
      </c>
    </row>
    <row r="1043" spans="1:12" x14ac:dyDescent="0.25">
      <c r="A1043" s="1">
        <v>45239</v>
      </c>
      <c r="B1043">
        <v>438.02999877929688</v>
      </c>
      <c r="C1043">
        <v>440.3800048828125</v>
      </c>
      <c r="D1043">
        <v>434.35000610351563</v>
      </c>
      <c r="E1043">
        <v>435.14999389648438</v>
      </c>
      <c r="F1043">
        <v>435.14999389648438</v>
      </c>
      <c r="G1043">
        <v>2735500</v>
      </c>
      <c r="I1043" s="5">
        <f t="shared" si="38"/>
        <v>-3.4411596724027407E-3</v>
      </c>
      <c r="K1043" s="5">
        <f t="shared" si="39"/>
        <v>1041</v>
      </c>
      <c r="L1043" s="5">
        <v>1.9979213500363215E-2</v>
      </c>
    </row>
    <row r="1044" spans="1:12" x14ac:dyDescent="0.25">
      <c r="A1044" s="1">
        <v>45240</v>
      </c>
      <c r="B1044">
        <v>437.48001098632813</v>
      </c>
      <c r="C1044">
        <v>447.48001098632813</v>
      </c>
      <c r="D1044">
        <v>435.510009765625</v>
      </c>
      <c r="E1044">
        <v>447.239990234375</v>
      </c>
      <c r="F1044">
        <v>447.239990234375</v>
      </c>
      <c r="G1044">
        <v>4440600</v>
      </c>
      <c r="I1044" s="5">
        <f t="shared" si="38"/>
        <v>2.7404556234566113E-2</v>
      </c>
      <c r="K1044" s="5">
        <f t="shared" si="39"/>
        <v>1042</v>
      </c>
      <c r="L1044" s="5">
        <v>2.0145442330341462E-2</v>
      </c>
    </row>
    <row r="1045" spans="1:12" x14ac:dyDescent="0.25">
      <c r="A1045" s="1">
        <v>45243</v>
      </c>
      <c r="B1045">
        <v>447.25</v>
      </c>
      <c r="C1045">
        <v>448.42999267578125</v>
      </c>
      <c r="D1045">
        <v>442.60000610351563</v>
      </c>
      <c r="E1045">
        <v>444.6199951171875</v>
      </c>
      <c r="F1045">
        <v>444.6199951171875</v>
      </c>
      <c r="G1045">
        <v>2896100</v>
      </c>
      <c r="I1045" s="5">
        <f t="shared" si="38"/>
        <v>-5.8753676519997886E-3</v>
      </c>
      <c r="K1045" s="5">
        <f t="shared" si="39"/>
        <v>1043</v>
      </c>
      <c r="L1045" s="5">
        <v>2.0429117908957732E-2</v>
      </c>
    </row>
    <row r="1046" spans="1:12" x14ac:dyDescent="0.25">
      <c r="A1046" s="1">
        <v>45244</v>
      </c>
      <c r="B1046">
        <v>448.77999877929688</v>
      </c>
      <c r="C1046">
        <v>454.07998657226563</v>
      </c>
      <c r="D1046">
        <v>445.6400146484375</v>
      </c>
      <c r="E1046">
        <v>448.64999389648438</v>
      </c>
      <c r="F1046">
        <v>448.64999389648438</v>
      </c>
      <c r="G1046">
        <v>4060900</v>
      </c>
      <c r="I1046" s="5">
        <f t="shared" si="38"/>
        <v>9.0230863480307479E-3</v>
      </c>
      <c r="K1046" s="5">
        <f t="shared" si="39"/>
        <v>1044</v>
      </c>
      <c r="L1046" s="5">
        <v>2.0436350866767899E-2</v>
      </c>
    </row>
    <row r="1047" spans="1:12" x14ac:dyDescent="0.25">
      <c r="A1047" s="1">
        <v>45245</v>
      </c>
      <c r="B1047">
        <v>452.80999755859375</v>
      </c>
      <c r="C1047">
        <v>462.75</v>
      </c>
      <c r="D1047">
        <v>452.45001220703125</v>
      </c>
      <c r="E1047">
        <v>461.94000244140625</v>
      </c>
      <c r="F1047">
        <v>461.94000244140625</v>
      </c>
      <c r="G1047">
        <v>5035300</v>
      </c>
      <c r="I1047" s="5">
        <f t="shared" si="38"/>
        <v>2.9191957663242566E-2</v>
      </c>
      <c r="K1047" s="5">
        <f t="shared" si="39"/>
        <v>1045</v>
      </c>
      <c r="L1047" s="5">
        <v>2.0437395349361336E-2</v>
      </c>
    </row>
    <row r="1048" spans="1:12" x14ac:dyDescent="0.25">
      <c r="A1048" s="1">
        <v>45246</v>
      </c>
      <c r="B1048">
        <v>463</v>
      </c>
      <c r="C1048">
        <v>467.27999877929688</v>
      </c>
      <c r="D1048">
        <v>459.64999389648438</v>
      </c>
      <c r="E1048">
        <v>466.95001220703125</v>
      </c>
      <c r="F1048">
        <v>466.95001220703125</v>
      </c>
      <c r="G1048">
        <v>3656000</v>
      </c>
      <c r="I1048" s="5">
        <f t="shared" si="38"/>
        <v>1.0787193894649966E-2</v>
      </c>
      <c r="K1048" s="5">
        <f t="shared" si="39"/>
        <v>1046</v>
      </c>
      <c r="L1048" s="5">
        <v>2.048999958326846E-2</v>
      </c>
    </row>
    <row r="1049" spans="1:12" x14ac:dyDescent="0.25">
      <c r="A1049" s="1">
        <v>45247</v>
      </c>
      <c r="B1049">
        <v>466.95001220703125</v>
      </c>
      <c r="C1049">
        <v>467.64999389648438</v>
      </c>
      <c r="D1049">
        <v>462.760009765625</v>
      </c>
      <c r="E1049">
        <v>465.91000366210938</v>
      </c>
      <c r="F1049">
        <v>465.91000366210938</v>
      </c>
      <c r="G1049">
        <v>2798500</v>
      </c>
      <c r="I1049" s="5">
        <f t="shared" si="38"/>
        <v>-2.2297214118098948E-3</v>
      </c>
      <c r="K1049" s="5">
        <f t="shared" si="39"/>
        <v>1047</v>
      </c>
      <c r="L1049" s="5">
        <v>2.0501854548174395E-2</v>
      </c>
    </row>
    <row r="1050" spans="1:12" x14ac:dyDescent="0.25">
      <c r="A1050" s="1">
        <v>45250</v>
      </c>
      <c r="B1050">
        <v>465.39999389648438</v>
      </c>
      <c r="C1050">
        <v>476.760009765625</v>
      </c>
      <c r="D1050">
        <v>465.39999389648438</v>
      </c>
      <c r="E1050">
        <v>474.47000122070313</v>
      </c>
      <c r="F1050">
        <v>474.47000122070313</v>
      </c>
      <c r="G1050">
        <v>3617600</v>
      </c>
      <c r="I1050" s="5">
        <f t="shared" si="38"/>
        <v>1.8205903891250191E-2</v>
      </c>
      <c r="K1050" s="5">
        <f t="shared" si="39"/>
        <v>1048</v>
      </c>
      <c r="L1050" s="5">
        <v>2.0503706692067337E-2</v>
      </c>
    </row>
    <row r="1051" spans="1:12" x14ac:dyDescent="0.25">
      <c r="A1051" s="1">
        <v>45251</v>
      </c>
      <c r="B1051">
        <v>472.6300048828125</v>
      </c>
      <c r="C1051">
        <v>477.01998901367188</v>
      </c>
      <c r="D1051">
        <v>471.20999145507813</v>
      </c>
      <c r="E1051">
        <v>474.95001220703125</v>
      </c>
      <c r="F1051">
        <v>474.95001220703125</v>
      </c>
      <c r="G1051">
        <v>2997700</v>
      </c>
      <c r="I1051" s="5">
        <f t="shared" si="38"/>
        <v>1.0111668606907947E-3</v>
      </c>
      <c r="K1051" s="5">
        <f t="shared" si="39"/>
        <v>1049</v>
      </c>
      <c r="L1051" s="5">
        <v>2.0617531569085242E-2</v>
      </c>
    </row>
    <row r="1052" spans="1:12" x14ac:dyDescent="0.25">
      <c r="A1052" s="1">
        <v>45252</v>
      </c>
      <c r="B1052">
        <v>476.79998779296875</v>
      </c>
      <c r="C1052">
        <v>482.70001220703125</v>
      </c>
      <c r="D1052">
        <v>476.55999755859375</v>
      </c>
      <c r="E1052">
        <v>478</v>
      </c>
      <c r="F1052">
        <v>478</v>
      </c>
      <c r="G1052">
        <v>2841600</v>
      </c>
      <c r="I1052" s="5">
        <f t="shared" si="38"/>
        <v>6.4011714535462359E-3</v>
      </c>
      <c r="K1052" s="5">
        <f t="shared" si="39"/>
        <v>1050</v>
      </c>
      <c r="L1052" s="5">
        <v>2.0820144347097867E-2</v>
      </c>
    </row>
    <row r="1053" spans="1:12" x14ac:dyDescent="0.25">
      <c r="A1053" s="1">
        <v>45254</v>
      </c>
      <c r="B1053">
        <v>477.1099853515625</v>
      </c>
      <c r="C1053">
        <v>480.39999389648438</v>
      </c>
      <c r="D1053">
        <v>475.20001220703125</v>
      </c>
      <c r="E1053">
        <v>479.55999755859375</v>
      </c>
      <c r="F1053">
        <v>479.55999755859375</v>
      </c>
      <c r="G1053">
        <v>1404700</v>
      </c>
      <c r="I1053" s="5">
        <f t="shared" si="38"/>
        <v>3.2582792570672149E-3</v>
      </c>
      <c r="K1053" s="5">
        <f t="shared" si="39"/>
        <v>1051</v>
      </c>
      <c r="L1053" s="5">
        <v>2.0860454101122441E-2</v>
      </c>
    </row>
    <row r="1054" spans="1:12" x14ac:dyDescent="0.25">
      <c r="A1054" s="1">
        <v>45257</v>
      </c>
      <c r="B1054">
        <v>479.02999877929688</v>
      </c>
      <c r="C1054">
        <v>482</v>
      </c>
      <c r="D1054">
        <v>475.35000610351563</v>
      </c>
      <c r="E1054">
        <v>479.17001342773438</v>
      </c>
      <c r="F1054">
        <v>479.17001342773438</v>
      </c>
      <c r="G1054">
        <v>3625900</v>
      </c>
      <c r="I1054" s="5">
        <f t="shared" si="38"/>
        <v>-8.1354322468222922E-4</v>
      </c>
      <c r="K1054" s="5">
        <f t="shared" si="39"/>
        <v>1052</v>
      </c>
      <c r="L1054" s="5">
        <v>2.0874661999725427E-2</v>
      </c>
    </row>
    <row r="1055" spans="1:12" x14ac:dyDescent="0.25">
      <c r="A1055" s="1">
        <v>45258</v>
      </c>
      <c r="B1055">
        <v>478.1099853515625</v>
      </c>
      <c r="C1055">
        <v>480.5</v>
      </c>
      <c r="D1055">
        <v>475.95001220703125</v>
      </c>
      <c r="E1055">
        <v>479</v>
      </c>
      <c r="F1055">
        <v>479</v>
      </c>
      <c r="G1055">
        <v>2890200</v>
      </c>
      <c r="I1055" s="5">
        <f t="shared" si="38"/>
        <v>-3.5487111292568452E-4</v>
      </c>
      <c r="K1055" s="5">
        <f t="shared" si="39"/>
        <v>1053</v>
      </c>
      <c r="L1055" s="5">
        <v>2.1001284250326244E-2</v>
      </c>
    </row>
    <row r="1056" spans="1:12" x14ac:dyDescent="0.25">
      <c r="A1056" s="1">
        <v>45259</v>
      </c>
      <c r="B1056">
        <v>479</v>
      </c>
      <c r="C1056">
        <v>480.989990234375</v>
      </c>
      <c r="D1056">
        <v>474.489990234375</v>
      </c>
      <c r="E1056">
        <v>477.19000244140625</v>
      </c>
      <c r="F1056">
        <v>477.19000244140625</v>
      </c>
      <c r="G1056">
        <v>2855500</v>
      </c>
      <c r="I1056" s="5">
        <f t="shared" si="38"/>
        <v>-3.7858578646938973E-3</v>
      </c>
      <c r="K1056" s="5">
        <f t="shared" si="39"/>
        <v>1054</v>
      </c>
      <c r="L1056" s="5">
        <v>2.1025092914413842E-2</v>
      </c>
    </row>
    <row r="1057" spans="1:12" x14ac:dyDescent="0.25">
      <c r="A1057" s="1">
        <v>45260</v>
      </c>
      <c r="B1057">
        <v>475.30999755859375</v>
      </c>
      <c r="C1057">
        <v>478.58999633789063</v>
      </c>
      <c r="D1057">
        <v>470.42001342773438</v>
      </c>
      <c r="E1057">
        <v>473.97000122070313</v>
      </c>
      <c r="F1057">
        <v>473.97000122070313</v>
      </c>
      <c r="G1057">
        <v>4287300</v>
      </c>
      <c r="I1057" s="5">
        <f t="shared" si="38"/>
        <v>-6.7707084178679948E-3</v>
      </c>
      <c r="K1057" s="5">
        <f t="shared" si="39"/>
        <v>1055</v>
      </c>
      <c r="L1057" s="5">
        <v>2.1115627539111965E-2</v>
      </c>
    </row>
    <row r="1058" spans="1:12" x14ac:dyDescent="0.25">
      <c r="A1058" s="1">
        <v>45261</v>
      </c>
      <c r="B1058">
        <v>473.17001342773438</v>
      </c>
      <c r="C1058">
        <v>475.23001098632813</v>
      </c>
      <c r="D1058">
        <v>464.60000610351563</v>
      </c>
      <c r="E1058">
        <v>465.739990234375</v>
      </c>
      <c r="F1058">
        <v>465.739990234375</v>
      </c>
      <c r="G1058">
        <v>4338100</v>
      </c>
      <c r="I1058" s="5">
        <f t="shared" si="38"/>
        <v>-1.75165135912397E-2</v>
      </c>
      <c r="K1058" s="5">
        <f t="shared" si="39"/>
        <v>1056</v>
      </c>
      <c r="L1058" s="5">
        <v>2.1172870738548896E-2</v>
      </c>
    </row>
    <row r="1059" spans="1:12" x14ac:dyDescent="0.25">
      <c r="A1059" s="1">
        <v>45264</v>
      </c>
      <c r="B1059">
        <v>460.989990234375</v>
      </c>
      <c r="C1059">
        <v>461.20001220703125</v>
      </c>
      <c r="D1059">
        <v>451.20001220703125</v>
      </c>
      <c r="E1059">
        <v>453.89999389648438</v>
      </c>
      <c r="F1059">
        <v>453.89999389648438</v>
      </c>
      <c r="G1059">
        <v>5157700</v>
      </c>
      <c r="I1059" s="5">
        <f t="shared" si="38"/>
        <v>-2.5750621521522816E-2</v>
      </c>
      <c r="K1059" s="5">
        <f t="shared" si="39"/>
        <v>1057</v>
      </c>
      <c r="L1059" s="5">
        <v>2.122495880215837E-2</v>
      </c>
    </row>
    <row r="1060" spans="1:12" x14ac:dyDescent="0.25">
      <c r="A1060" s="1">
        <v>45265</v>
      </c>
      <c r="B1060">
        <v>450.70001220703125</v>
      </c>
      <c r="C1060">
        <v>456.3900146484375</v>
      </c>
      <c r="D1060">
        <v>449.57998657226563</v>
      </c>
      <c r="E1060">
        <v>455.14999389648438</v>
      </c>
      <c r="F1060">
        <v>455.14999389648438</v>
      </c>
      <c r="G1060">
        <v>3380700</v>
      </c>
      <c r="I1060" s="5">
        <f t="shared" si="38"/>
        <v>2.7501255258074362E-3</v>
      </c>
      <c r="K1060" s="5">
        <f t="shared" si="39"/>
        <v>1058</v>
      </c>
      <c r="L1060" s="5">
        <v>2.1482265298272331E-2</v>
      </c>
    </row>
    <row r="1061" spans="1:12" x14ac:dyDescent="0.25">
      <c r="A1061" s="1">
        <v>45266</v>
      </c>
      <c r="B1061">
        <v>460</v>
      </c>
      <c r="C1061">
        <v>460.5</v>
      </c>
      <c r="D1061">
        <v>445.73001098632813</v>
      </c>
      <c r="E1061">
        <v>446.73001098632813</v>
      </c>
      <c r="F1061">
        <v>446.73001098632813</v>
      </c>
      <c r="G1061">
        <v>4178800</v>
      </c>
      <c r="I1061" s="5">
        <f t="shared" si="38"/>
        <v>-1.8672611678405466E-2</v>
      </c>
      <c r="K1061" s="5">
        <f t="shared" si="39"/>
        <v>1059</v>
      </c>
      <c r="L1061" s="5">
        <v>2.1644070957551255E-2</v>
      </c>
    </row>
    <row r="1062" spans="1:12" x14ac:dyDescent="0.25">
      <c r="A1062" s="1">
        <v>45267</v>
      </c>
      <c r="B1062">
        <v>450.85000610351563</v>
      </c>
      <c r="C1062">
        <v>452.8900146484375</v>
      </c>
      <c r="D1062">
        <v>448.32000732421875</v>
      </c>
      <c r="E1062">
        <v>452</v>
      </c>
      <c r="F1062">
        <v>452</v>
      </c>
      <c r="G1062">
        <v>3506700</v>
      </c>
      <c r="I1062" s="5">
        <f t="shared" si="38"/>
        <v>1.1727769969238078E-2</v>
      </c>
      <c r="K1062" s="5">
        <f t="shared" si="39"/>
        <v>1060</v>
      </c>
      <c r="L1062" s="5">
        <v>2.1669271213262366E-2</v>
      </c>
    </row>
    <row r="1063" spans="1:12" x14ac:dyDescent="0.25">
      <c r="A1063" s="1">
        <v>45268</v>
      </c>
      <c r="B1063">
        <v>450.760009765625</v>
      </c>
      <c r="C1063">
        <v>455.5</v>
      </c>
      <c r="D1063">
        <v>450.760009765625</v>
      </c>
      <c r="E1063">
        <v>453.760009765625</v>
      </c>
      <c r="F1063">
        <v>453.760009765625</v>
      </c>
      <c r="G1063">
        <v>3456100</v>
      </c>
      <c r="I1063" s="5">
        <f t="shared" si="38"/>
        <v>3.8862655930409257E-3</v>
      </c>
      <c r="K1063" s="5">
        <f t="shared" si="39"/>
        <v>1061</v>
      </c>
      <c r="L1063" s="5">
        <v>2.1860350049087287E-2</v>
      </c>
    </row>
    <row r="1064" spans="1:12" x14ac:dyDescent="0.25">
      <c r="A1064" s="1">
        <v>45271</v>
      </c>
      <c r="B1064">
        <v>459.3599853515625</v>
      </c>
      <c r="C1064">
        <v>470.64999389648438</v>
      </c>
      <c r="D1064">
        <v>457.20999145507813</v>
      </c>
      <c r="E1064">
        <v>459.8900146484375</v>
      </c>
      <c r="F1064">
        <v>459.8900146484375</v>
      </c>
      <c r="G1064">
        <v>4929700</v>
      </c>
      <c r="I1064" s="5">
        <f t="shared" si="38"/>
        <v>1.3418916878890288E-2</v>
      </c>
      <c r="K1064" s="5">
        <f t="shared" si="39"/>
        <v>1062</v>
      </c>
      <c r="L1064" s="5">
        <v>2.1994040408966669E-2</v>
      </c>
    </row>
    <row r="1065" spans="1:12" x14ac:dyDescent="0.25">
      <c r="A1065" s="1">
        <v>45272</v>
      </c>
      <c r="B1065">
        <v>465.23001098632813</v>
      </c>
      <c r="C1065">
        <v>465.6099853515625</v>
      </c>
      <c r="D1065">
        <v>459.20001220703125</v>
      </c>
      <c r="E1065">
        <v>463</v>
      </c>
      <c r="F1065">
        <v>463</v>
      </c>
      <c r="G1065">
        <v>3302700</v>
      </c>
      <c r="I1065" s="5">
        <f t="shared" si="38"/>
        <v>6.7396917820716704E-3</v>
      </c>
      <c r="K1065" s="5">
        <f t="shared" si="39"/>
        <v>1063</v>
      </c>
      <c r="L1065" s="5">
        <v>2.2111348423957969E-2</v>
      </c>
    </row>
    <row r="1066" spans="1:12" x14ac:dyDescent="0.25">
      <c r="A1066" s="1">
        <v>45273</v>
      </c>
      <c r="B1066">
        <v>461.98001098632813</v>
      </c>
      <c r="C1066">
        <v>481.25</v>
      </c>
      <c r="D1066">
        <v>461.98001098632813</v>
      </c>
      <c r="E1066">
        <v>479.98001098632813</v>
      </c>
      <c r="F1066">
        <v>479.98001098632813</v>
      </c>
      <c r="G1066">
        <v>5820200</v>
      </c>
      <c r="I1066" s="5">
        <f t="shared" si="38"/>
        <v>3.6017405170093143E-2</v>
      </c>
      <c r="K1066" s="5">
        <f t="shared" si="39"/>
        <v>1064</v>
      </c>
      <c r="L1066" s="5">
        <v>2.2116207631638456E-2</v>
      </c>
    </row>
    <row r="1067" spans="1:12" x14ac:dyDescent="0.25">
      <c r="A1067" s="1">
        <v>45274</v>
      </c>
      <c r="B1067">
        <v>480.3599853515625</v>
      </c>
      <c r="C1067">
        <v>480.760009765625</v>
      </c>
      <c r="D1067">
        <v>464.760009765625</v>
      </c>
      <c r="E1067">
        <v>469.82998657226563</v>
      </c>
      <c r="F1067">
        <v>469.82998657226563</v>
      </c>
      <c r="G1067">
        <v>5176400</v>
      </c>
      <c r="I1067" s="5">
        <f t="shared" si="38"/>
        <v>-2.137356068986055E-2</v>
      </c>
      <c r="K1067" s="5">
        <f t="shared" si="39"/>
        <v>1065</v>
      </c>
      <c r="L1067" s="5">
        <v>2.2283807037845479E-2</v>
      </c>
    </row>
    <row r="1068" spans="1:12" x14ac:dyDescent="0.25">
      <c r="A1068" s="1">
        <v>45275</v>
      </c>
      <c r="B1068">
        <v>467.29998779296875</v>
      </c>
      <c r="C1068">
        <v>473</v>
      </c>
      <c r="D1068">
        <v>467.29998779296875</v>
      </c>
      <c r="E1068">
        <v>472.05999755859375</v>
      </c>
      <c r="F1068">
        <v>472.05999755859375</v>
      </c>
      <c r="G1068">
        <v>7838300</v>
      </c>
      <c r="I1068" s="5">
        <f t="shared" si="38"/>
        <v>4.7351924124528115E-3</v>
      </c>
      <c r="K1068" s="5">
        <f t="shared" si="39"/>
        <v>1066</v>
      </c>
      <c r="L1068" s="5">
        <v>2.2307528654662876E-2</v>
      </c>
    </row>
    <row r="1069" spans="1:12" x14ac:dyDescent="0.25">
      <c r="A1069" s="1">
        <v>45278</v>
      </c>
      <c r="B1069">
        <v>476.29998779296875</v>
      </c>
      <c r="C1069">
        <v>492.04000854492188</v>
      </c>
      <c r="D1069">
        <v>475.10000610351563</v>
      </c>
      <c r="E1069">
        <v>486.1199951171875</v>
      </c>
      <c r="F1069">
        <v>486.1199951171875</v>
      </c>
      <c r="G1069">
        <v>6410700</v>
      </c>
      <c r="I1069" s="5">
        <f t="shared" si="38"/>
        <v>2.9349405979220665E-2</v>
      </c>
      <c r="K1069" s="5">
        <f t="shared" si="39"/>
        <v>1067</v>
      </c>
      <c r="L1069" s="5">
        <v>2.2376426162718368E-2</v>
      </c>
    </row>
    <row r="1070" spans="1:12" x14ac:dyDescent="0.25">
      <c r="A1070" s="1">
        <v>45279</v>
      </c>
      <c r="B1070">
        <v>488.39999389648438</v>
      </c>
      <c r="C1070">
        <v>496.1400146484375</v>
      </c>
      <c r="D1070">
        <v>484.05999755859375</v>
      </c>
      <c r="E1070">
        <v>495.01998901367188</v>
      </c>
      <c r="F1070">
        <v>495.01998901367188</v>
      </c>
      <c r="G1070">
        <v>3849000</v>
      </c>
      <c r="I1070" s="5">
        <f t="shared" si="38"/>
        <v>1.8142646641027094E-2</v>
      </c>
      <c r="K1070" s="5">
        <f t="shared" si="39"/>
        <v>1068</v>
      </c>
      <c r="L1070" s="5">
        <v>2.2382100071357564E-2</v>
      </c>
    </row>
    <row r="1071" spans="1:12" x14ac:dyDescent="0.25">
      <c r="A1071" s="1">
        <v>45280</v>
      </c>
      <c r="B1071">
        <v>492</v>
      </c>
      <c r="C1071">
        <v>500.8900146484375</v>
      </c>
      <c r="D1071">
        <v>488.3900146484375</v>
      </c>
      <c r="E1071">
        <v>489.26998901367188</v>
      </c>
      <c r="F1071">
        <v>489.26998901367188</v>
      </c>
      <c r="G1071">
        <v>4563700</v>
      </c>
      <c r="I1071" s="5">
        <f t="shared" si="38"/>
        <v>-1.1683681716761905E-2</v>
      </c>
      <c r="K1071" s="5">
        <f t="shared" si="39"/>
        <v>1069</v>
      </c>
      <c r="L1071" s="5">
        <v>2.2496094821005914E-2</v>
      </c>
    </row>
    <row r="1072" spans="1:12" x14ac:dyDescent="0.25">
      <c r="A1072" s="1">
        <v>45281</v>
      </c>
      <c r="B1072">
        <v>492.66000366210938</v>
      </c>
      <c r="C1072">
        <v>494.39999389648438</v>
      </c>
      <c r="D1072">
        <v>486.76998901367188</v>
      </c>
      <c r="E1072">
        <v>491.6099853515625</v>
      </c>
      <c r="F1072">
        <v>491.6099853515625</v>
      </c>
      <c r="G1072">
        <v>2756200</v>
      </c>
      <c r="I1072" s="5">
        <f t="shared" si="38"/>
        <v>4.7712275469701153E-3</v>
      </c>
      <c r="K1072" s="5">
        <f t="shared" si="39"/>
        <v>1070</v>
      </c>
      <c r="L1072" s="5">
        <v>2.2643268240728282E-2</v>
      </c>
    </row>
    <row r="1073" spans="1:12" x14ac:dyDescent="0.25">
      <c r="A1073" s="1">
        <v>45282</v>
      </c>
      <c r="B1073">
        <v>494</v>
      </c>
      <c r="C1073">
        <v>496.01998901367188</v>
      </c>
      <c r="D1073">
        <v>485.45001220703125</v>
      </c>
      <c r="E1073">
        <v>486.760009765625</v>
      </c>
      <c r="F1073">
        <v>486.760009765625</v>
      </c>
      <c r="G1073">
        <v>2701100</v>
      </c>
      <c r="I1073" s="5">
        <f t="shared" si="38"/>
        <v>-9.9144808982713183E-3</v>
      </c>
      <c r="K1073" s="5">
        <f t="shared" si="39"/>
        <v>1071</v>
      </c>
      <c r="L1073" s="5">
        <v>2.271524686849264E-2</v>
      </c>
    </row>
    <row r="1074" spans="1:12" x14ac:dyDescent="0.25">
      <c r="A1074" s="1">
        <v>45286</v>
      </c>
      <c r="B1074">
        <v>489.3900146484375</v>
      </c>
      <c r="C1074">
        <v>491.48001098632813</v>
      </c>
      <c r="D1074">
        <v>486.3800048828125</v>
      </c>
      <c r="E1074">
        <v>491.19000244140625</v>
      </c>
      <c r="F1074">
        <v>491.19000244140625</v>
      </c>
      <c r="G1074">
        <v>2034500</v>
      </c>
      <c r="I1074" s="5">
        <f t="shared" si="38"/>
        <v>9.0598147587972553E-3</v>
      </c>
      <c r="K1074" s="5">
        <f t="shared" si="39"/>
        <v>1072</v>
      </c>
      <c r="L1074" s="5">
        <v>2.2734239080882217E-2</v>
      </c>
    </row>
    <row r="1075" spans="1:12" x14ac:dyDescent="0.25">
      <c r="A1075" s="1">
        <v>45287</v>
      </c>
      <c r="B1075">
        <v>491.239990234375</v>
      </c>
      <c r="C1075">
        <v>494.01998901367188</v>
      </c>
      <c r="D1075">
        <v>489.25</v>
      </c>
      <c r="E1075">
        <v>491.79000854492188</v>
      </c>
      <c r="F1075">
        <v>491.79000854492188</v>
      </c>
      <c r="G1075">
        <v>2561300</v>
      </c>
      <c r="I1075" s="5">
        <f t="shared" si="38"/>
        <v>1.2207901917165487E-3</v>
      </c>
      <c r="K1075" s="5">
        <f t="shared" si="39"/>
        <v>1073</v>
      </c>
      <c r="L1075" s="5">
        <v>2.2876851365142579E-2</v>
      </c>
    </row>
    <row r="1076" spans="1:12" x14ac:dyDescent="0.25">
      <c r="A1076" s="1">
        <v>45288</v>
      </c>
      <c r="B1076">
        <v>492</v>
      </c>
      <c r="C1076">
        <v>492.8900146484375</v>
      </c>
      <c r="D1076">
        <v>489.07000732421875</v>
      </c>
      <c r="E1076">
        <v>490.510009765625</v>
      </c>
      <c r="F1076">
        <v>490.510009765625</v>
      </c>
      <c r="G1076">
        <v>1710500</v>
      </c>
      <c r="I1076" s="5">
        <f t="shared" si="38"/>
        <v>-2.6061274150578134E-3</v>
      </c>
      <c r="K1076" s="5">
        <f t="shared" si="39"/>
        <v>1074</v>
      </c>
      <c r="L1076" s="5">
        <v>2.2909884053673918E-2</v>
      </c>
    </row>
    <row r="1077" spans="1:12" x14ac:dyDescent="0.25">
      <c r="A1077" s="1">
        <v>45289</v>
      </c>
      <c r="B1077">
        <v>490.3699951171875</v>
      </c>
      <c r="C1077">
        <v>492.23001098632813</v>
      </c>
      <c r="D1077">
        <v>481.94000244140625</v>
      </c>
      <c r="E1077">
        <v>486.8800048828125</v>
      </c>
      <c r="F1077">
        <v>486.8800048828125</v>
      </c>
      <c r="G1077">
        <v>2739500</v>
      </c>
      <c r="I1077" s="5">
        <f t="shared" si="38"/>
        <v>-7.427989889119184E-3</v>
      </c>
      <c r="K1077" s="5">
        <f t="shared" si="39"/>
        <v>1075</v>
      </c>
      <c r="L1077" s="5">
        <v>2.2930417773833003E-2</v>
      </c>
    </row>
    <row r="1078" spans="1:12" x14ac:dyDescent="0.25">
      <c r="A1078" s="1">
        <v>45293</v>
      </c>
      <c r="B1078">
        <v>483.19000244140625</v>
      </c>
      <c r="C1078">
        <v>484.64999389648438</v>
      </c>
      <c r="D1078">
        <v>461.8599853515625</v>
      </c>
      <c r="E1078">
        <v>468.5</v>
      </c>
      <c r="F1078">
        <v>468.5</v>
      </c>
      <c r="G1078">
        <v>5049400</v>
      </c>
      <c r="I1078" s="5">
        <f t="shared" si="38"/>
        <v>-3.8481594498964246E-2</v>
      </c>
      <c r="K1078" s="5">
        <f t="shared" si="39"/>
        <v>1076</v>
      </c>
      <c r="L1078" s="5">
        <v>2.3003656691256313E-2</v>
      </c>
    </row>
    <row r="1079" spans="1:12" x14ac:dyDescent="0.25">
      <c r="A1079" s="1">
        <v>45294</v>
      </c>
      <c r="B1079">
        <v>467.32000732421875</v>
      </c>
      <c r="C1079">
        <v>475.04998779296875</v>
      </c>
      <c r="D1079">
        <v>465.76998901367188</v>
      </c>
      <c r="E1079">
        <v>470.260009765625</v>
      </c>
      <c r="F1079">
        <v>470.260009765625</v>
      </c>
      <c r="G1079">
        <v>3443700</v>
      </c>
      <c r="I1079" s="5">
        <f t="shared" si="38"/>
        <v>3.7496523274205048E-3</v>
      </c>
      <c r="K1079" s="5">
        <f t="shared" si="39"/>
        <v>1077</v>
      </c>
      <c r="L1079" s="5">
        <v>2.3230000350983722E-2</v>
      </c>
    </row>
    <row r="1080" spans="1:12" x14ac:dyDescent="0.25">
      <c r="A1080" s="1">
        <v>45295</v>
      </c>
      <c r="B1080">
        <v>472.98001098632813</v>
      </c>
      <c r="C1080">
        <v>480.739990234375</v>
      </c>
      <c r="D1080">
        <v>466.52999877929688</v>
      </c>
      <c r="E1080">
        <v>474.67001342773438</v>
      </c>
      <c r="F1080">
        <v>474.67001342773438</v>
      </c>
      <c r="G1080">
        <v>3636500</v>
      </c>
      <c r="I1080" s="5">
        <f t="shared" si="38"/>
        <v>9.3341000337338279E-3</v>
      </c>
      <c r="K1080" s="5">
        <f t="shared" si="39"/>
        <v>1078</v>
      </c>
      <c r="L1080" s="5">
        <v>2.3287686086568376E-2</v>
      </c>
    </row>
    <row r="1081" spans="1:12" x14ac:dyDescent="0.25">
      <c r="A1081" s="1">
        <v>45296</v>
      </c>
      <c r="B1081">
        <v>476.5</v>
      </c>
      <c r="C1081">
        <v>479.54998779296875</v>
      </c>
      <c r="D1081">
        <v>471.79998779296875</v>
      </c>
      <c r="E1081">
        <v>474.05999755859375</v>
      </c>
      <c r="F1081">
        <v>474.05999755859375</v>
      </c>
      <c r="G1081">
        <v>2612500</v>
      </c>
      <c r="I1081" s="5">
        <f t="shared" si="38"/>
        <v>-1.2859632269285387E-3</v>
      </c>
      <c r="K1081" s="5">
        <f t="shared" si="39"/>
        <v>1079</v>
      </c>
      <c r="L1081" s="5">
        <v>2.3504307727356285E-2</v>
      </c>
    </row>
    <row r="1082" spans="1:12" x14ac:dyDescent="0.25">
      <c r="A1082" s="1">
        <v>45299</v>
      </c>
      <c r="B1082">
        <v>473.8900146484375</v>
      </c>
      <c r="C1082">
        <v>485.239990234375</v>
      </c>
      <c r="D1082">
        <v>473.64999389648438</v>
      </c>
      <c r="E1082">
        <v>485.02999877929688</v>
      </c>
      <c r="F1082">
        <v>485.02999877929688</v>
      </c>
      <c r="G1082">
        <v>3675800</v>
      </c>
      <c r="I1082" s="5">
        <f t="shared" si="38"/>
        <v>2.2876851365142579E-2</v>
      </c>
      <c r="K1082" s="5">
        <f t="shared" si="39"/>
        <v>1080</v>
      </c>
      <c r="L1082" s="5">
        <v>2.3577519721608455E-2</v>
      </c>
    </row>
    <row r="1083" spans="1:12" x14ac:dyDescent="0.25">
      <c r="A1083" s="1">
        <v>45300</v>
      </c>
      <c r="B1083">
        <v>475.52999877929688</v>
      </c>
      <c r="C1083">
        <v>485.08999633789063</v>
      </c>
      <c r="D1083">
        <v>473.79998779296875</v>
      </c>
      <c r="E1083">
        <v>482.08999633789063</v>
      </c>
      <c r="F1083">
        <v>482.08999633789063</v>
      </c>
      <c r="G1083">
        <v>3526800</v>
      </c>
      <c r="I1083" s="5">
        <f t="shared" si="38"/>
        <v>-6.0799311622439615E-3</v>
      </c>
      <c r="K1083" s="5">
        <f t="shared" si="39"/>
        <v>1081</v>
      </c>
      <c r="L1083" s="5">
        <v>2.3658478752158499E-2</v>
      </c>
    </row>
    <row r="1084" spans="1:12" x14ac:dyDescent="0.25">
      <c r="A1084" s="1">
        <v>45301</v>
      </c>
      <c r="B1084">
        <v>481.60000610351563</v>
      </c>
      <c r="C1084">
        <v>487</v>
      </c>
      <c r="D1084">
        <v>472.95001220703125</v>
      </c>
      <c r="E1084">
        <v>478.32998657226563</v>
      </c>
      <c r="F1084">
        <v>478.32998657226563</v>
      </c>
      <c r="G1084">
        <v>4342400</v>
      </c>
      <c r="I1084" s="5">
        <f t="shared" si="38"/>
        <v>-7.8299682275001208E-3</v>
      </c>
      <c r="K1084" s="5">
        <f t="shared" si="39"/>
        <v>1082</v>
      </c>
      <c r="L1084" s="5">
        <v>2.3698521233002413E-2</v>
      </c>
    </row>
    <row r="1085" spans="1:12" x14ac:dyDescent="0.25">
      <c r="A1085" s="1">
        <v>45302</v>
      </c>
      <c r="B1085">
        <v>492.54000854492188</v>
      </c>
      <c r="C1085">
        <v>503.41000366210938</v>
      </c>
      <c r="D1085">
        <v>483.82000732421875</v>
      </c>
      <c r="E1085">
        <v>492.23001098632813</v>
      </c>
      <c r="F1085">
        <v>492.23001098632813</v>
      </c>
      <c r="G1085">
        <v>7993300</v>
      </c>
      <c r="I1085" s="5">
        <f t="shared" si="38"/>
        <v>2.8645266463923569E-2</v>
      </c>
      <c r="K1085" s="5">
        <f t="shared" si="39"/>
        <v>1083</v>
      </c>
      <c r="L1085" s="5">
        <v>2.3730026396381075E-2</v>
      </c>
    </row>
    <row r="1086" spans="1:12" x14ac:dyDescent="0.25">
      <c r="A1086" s="1">
        <v>45303</v>
      </c>
      <c r="B1086">
        <v>500.510009765625</v>
      </c>
      <c r="C1086">
        <v>500.79000854492188</v>
      </c>
      <c r="D1086">
        <v>490.6099853515625</v>
      </c>
      <c r="E1086">
        <v>492.16000366210938</v>
      </c>
      <c r="F1086">
        <v>492.16000366210938</v>
      </c>
      <c r="G1086">
        <v>4996600</v>
      </c>
      <c r="I1086" s="5">
        <f t="shared" si="38"/>
        <v>-1.4223493390836731E-4</v>
      </c>
      <c r="K1086" s="5">
        <f t="shared" si="39"/>
        <v>1084</v>
      </c>
      <c r="L1086" s="5">
        <v>2.3836494495891605E-2</v>
      </c>
    </row>
    <row r="1087" spans="1:12" x14ac:dyDescent="0.25">
      <c r="A1087" s="1">
        <v>45307</v>
      </c>
      <c r="B1087">
        <v>490</v>
      </c>
      <c r="C1087">
        <v>494.14999389648438</v>
      </c>
      <c r="D1087">
        <v>478.01998901367188</v>
      </c>
      <c r="E1087">
        <v>481.239990234375</v>
      </c>
      <c r="F1087">
        <v>481.239990234375</v>
      </c>
      <c r="G1087">
        <v>4679000</v>
      </c>
      <c r="I1087" s="5">
        <f t="shared" si="38"/>
        <v>-2.2437788445422251E-2</v>
      </c>
      <c r="K1087" s="5">
        <f t="shared" si="39"/>
        <v>1085</v>
      </c>
      <c r="L1087" s="5">
        <v>2.4068640102422975E-2</v>
      </c>
    </row>
    <row r="1088" spans="1:12" x14ac:dyDescent="0.25">
      <c r="A1088" s="1">
        <v>45308</v>
      </c>
      <c r="B1088">
        <v>484.5</v>
      </c>
      <c r="C1088">
        <v>486.20999145507813</v>
      </c>
      <c r="D1088">
        <v>475.260009765625</v>
      </c>
      <c r="E1088">
        <v>480.32998657226563</v>
      </c>
      <c r="F1088">
        <v>480.32998657226563</v>
      </c>
      <c r="G1088">
        <v>4894600</v>
      </c>
      <c r="I1088" s="5">
        <f t="shared" si="38"/>
        <v>-1.8927461458489933E-3</v>
      </c>
      <c r="K1088" s="5">
        <f t="shared" si="39"/>
        <v>1086</v>
      </c>
      <c r="L1088" s="5">
        <v>2.4097559104398095E-2</v>
      </c>
    </row>
    <row r="1089" spans="1:12" x14ac:dyDescent="0.25">
      <c r="A1089" s="1">
        <v>45309</v>
      </c>
      <c r="B1089">
        <v>480.02999877929688</v>
      </c>
      <c r="C1089">
        <v>485.76998901367188</v>
      </c>
      <c r="D1089">
        <v>478.01998901367188</v>
      </c>
      <c r="E1089">
        <v>485.30999755859375</v>
      </c>
      <c r="F1089">
        <v>485.30999755859375</v>
      </c>
      <c r="G1089">
        <v>4054400</v>
      </c>
      <c r="I1089" s="5">
        <f t="shared" si="38"/>
        <v>1.0314517252255505E-2</v>
      </c>
      <c r="K1089" s="5">
        <f t="shared" si="39"/>
        <v>1087</v>
      </c>
      <c r="L1089" s="5">
        <v>2.4376690815546744E-2</v>
      </c>
    </row>
    <row r="1090" spans="1:12" x14ac:dyDescent="0.25">
      <c r="A1090" s="1">
        <v>45310</v>
      </c>
      <c r="B1090">
        <v>484.98001098632813</v>
      </c>
      <c r="C1090">
        <v>485.67001342773438</v>
      </c>
      <c r="D1090">
        <v>476.05999755859375</v>
      </c>
      <c r="E1090">
        <v>482.95001220703125</v>
      </c>
      <c r="F1090">
        <v>482.95001220703125</v>
      </c>
      <c r="G1090">
        <v>5665600</v>
      </c>
      <c r="I1090" s="5">
        <f t="shared" si="38"/>
        <v>-4.8747030778227424E-3</v>
      </c>
      <c r="K1090" s="5">
        <f t="shared" si="39"/>
        <v>1088</v>
      </c>
      <c r="L1090" s="5">
        <v>2.4396107571747653E-2</v>
      </c>
    </row>
    <row r="1091" spans="1:12" x14ac:dyDescent="0.25">
      <c r="A1091" s="1">
        <v>45313</v>
      </c>
      <c r="B1091">
        <v>487.54998779296875</v>
      </c>
      <c r="C1091">
        <v>489.79998779296875</v>
      </c>
      <c r="D1091">
        <v>479.89999389648438</v>
      </c>
      <c r="E1091">
        <v>485.70999145507813</v>
      </c>
      <c r="F1091">
        <v>485.70999145507813</v>
      </c>
      <c r="G1091">
        <v>5212300</v>
      </c>
      <c r="I1091" s="5">
        <f t="shared" si="38"/>
        <v>5.6985664866806476E-3</v>
      </c>
      <c r="K1091" s="5">
        <f t="shared" si="39"/>
        <v>1089</v>
      </c>
      <c r="L1091" s="5">
        <v>2.4469338413812176E-2</v>
      </c>
    </row>
    <row r="1092" spans="1:12" x14ac:dyDescent="0.25">
      <c r="A1092" s="1">
        <v>45314</v>
      </c>
      <c r="B1092">
        <v>492</v>
      </c>
      <c r="C1092">
        <v>498.95999145507813</v>
      </c>
      <c r="D1092">
        <v>481.39999389648438</v>
      </c>
      <c r="E1092">
        <v>492.19000244140625</v>
      </c>
      <c r="F1092">
        <v>492.19000244140625</v>
      </c>
      <c r="G1092">
        <v>15506000</v>
      </c>
      <c r="I1092" s="5">
        <f t="shared" ref="I1092:I1155" si="40">LN(F1092/F1091)</f>
        <v>1.3253105378565786E-2</v>
      </c>
      <c r="K1092" s="5">
        <f t="shared" ref="K1092:K1155" si="41">_xlfn.RANK.AVG(L1092,_xlfn.ANCHORARRAY($L$3),1)</f>
        <v>1090</v>
      </c>
      <c r="L1092" s="5">
        <v>2.4583713802904625E-2</v>
      </c>
    </row>
    <row r="1093" spans="1:12" x14ac:dyDescent="0.25">
      <c r="A1093" s="1">
        <v>45315</v>
      </c>
      <c r="B1093">
        <v>537.75</v>
      </c>
      <c r="C1093">
        <v>562.5</v>
      </c>
      <c r="D1093">
        <v>537.07000732421875</v>
      </c>
      <c r="E1093">
        <v>544.8699951171875</v>
      </c>
      <c r="F1093">
        <v>544.8699951171875</v>
      </c>
      <c r="G1093">
        <v>26432800</v>
      </c>
      <c r="I1093" s="5">
        <f t="shared" si="40"/>
        <v>0.10168239937189288</v>
      </c>
      <c r="K1093" s="5">
        <f t="shared" si="41"/>
        <v>1091</v>
      </c>
      <c r="L1093" s="5">
        <v>2.4675427226602348E-2</v>
      </c>
    </row>
    <row r="1094" spans="1:12" x14ac:dyDescent="0.25">
      <c r="A1094" s="1">
        <v>45316</v>
      </c>
      <c r="B1094">
        <v>551.95001220703125</v>
      </c>
      <c r="C1094">
        <v>563.46002197265625</v>
      </c>
      <c r="D1094">
        <v>548.46002197265625</v>
      </c>
      <c r="E1094">
        <v>562</v>
      </c>
      <c r="F1094">
        <v>562</v>
      </c>
      <c r="G1094">
        <v>9451900</v>
      </c>
      <c r="I1094" s="5">
        <f t="shared" si="40"/>
        <v>3.0954624755273975E-2</v>
      </c>
      <c r="K1094" s="5">
        <f t="shared" si="41"/>
        <v>1092</v>
      </c>
      <c r="L1094" s="5">
        <v>2.4725408441161254E-2</v>
      </c>
    </row>
    <row r="1095" spans="1:12" x14ac:dyDescent="0.25">
      <c r="A1095" s="1">
        <v>45317</v>
      </c>
      <c r="B1095">
        <v>561.80999755859375</v>
      </c>
      <c r="C1095">
        <v>579.6400146484375</v>
      </c>
      <c r="D1095">
        <v>558.42999267578125</v>
      </c>
      <c r="E1095">
        <v>570.41998291015625</v>
      </c>
      <c r="F1095">
        <v>570.41998291015625</v>
      </c>
      <c r="G1095">
        <v>12770600</v>
      </c>
      <c r="I1095" s="5">
        <f t="shared" si="40"/>
        <v>1.487105174519634E-2</v>
      </c>
      <c r="K1095" s="5">
        <f t="shared" si="41"/>
        <v>1093</v>
      </c>
      <c r="L1095" s="5">
        <v>2.479834509015897E-2</v>
      </c>
    </row>
    <row r="1096" spans="1:12" x14ac:dyDescent="0.25">
      <c r="A1096" s="1">
        <v>45320</v>
      </c>
      <c r="B1096">
        <v>571.3499755859375</v>
      </c>
      <c r="C1096">
        <v>578.54998779296875</v>
      </c>
      <c r="D1096">
        <v>562.67999267578125</v>
      </c>
      <c r="E1096">
        <v>575.78997802734375</v>
      </c>
      <c r="F1096">
        <v>575.78997802734375</v>
      </c>
      <c r="G1096">
        <v>6905400</v>
      </c>
      <c r="I1096" s="5">
        <f t="shared" si="40"/>
        <v>9.3700710861227068E-3</v>
      </c>
      <c r="K1096" s="5">
        <f t="shared" si="41"/>
        <v>1094</v>
      </c>
      <c r="L1096" s="5">
        <v>2.5235637919326932E-2</v>
      </c>
    </row>
    <row r="1097" spans="1:12" x14ac:dyDescent="0.25">
      <c r="A1097" s="1">
        <v>45321</v>
      </c>
      <c r="B1097">
        <v>567.32000732421875</v>
      </c>
      <c r="C1097">
        <v>570.8800048828125</v>
      </c>
      <c r="D1097">
        <v>560.82000732421875</v>
      </c>
      <c r="E1097">
        <v>562.8499755859375</v>
      </c>
      <c r="F1097">
        <v>562.8499755859375</v>
      </c>
      <c r="G1097">
        <v>6181800</v>
      </c>
      <c r="I1097" s="5">
        <f t="shared" si="40"/>
        <v>-2.272985329998652E-2</v>
      </c>
      <c r="K1097" s="5">
        <f t="shared" si="41"/>
        <v>1095</v>
      </c>
      <c r="L1097" s="5">
        <v>2.5404000857587573E-2</v>
      </c>
    </row>
    <row r="1098" spans="1:12" x14ac:dyDescent="0.25">
      <c r="A1098" s="1">
        <v>45322</v>
      </c>
      <c r="B1098">
        <v>562.8499755859375</v>
      </c>
      <c r="C1098">
        <v>572.1500244140625</v>
      </c>
      <c r="D1098">
        <v>562.03997802734375</v>
      </c>
      <c r="E1098">
        <v>564.1099853515625</v>
      </c>
      <c r="F1098">
        <v>564.1099853515625</v>
      </c>
      <c r="G1098">
        <v>4857600</v>
      </c>
      <c r="I1098" s="5">
        <f t="shared" si="40"/>
        <v>2.2361225497425563E-3</v>
      </c>
      <c r="K1098" s="5">
        <f t="shared" si="41"/>
        <v>1096</v>
      </c>
      <c r="L1098" s="5">
        <v>2.5509897584438165E-2</v>
      </c>
    </row>
    <row r="1099" spans="1:12" x14ac:dyDescent="0.25">
      <c r="A1099" s="1">
        <v>45323</v>
      </c>
      <c r="B1099">
        <v>567.02001953125</v>
      </c>
      <c r="C1099">
        <v>572.65997314453125</v>
      </c>
      <c r="D1099">
        <v>563.83001708984375</v>
      </c>
      <c r="E1099">
        <v>567.510009765625</v>
      </c>
      <c r="F1099">
        <v>567.510009765625</v>
      </c>
      <c r="G1099">
        <v>3174000</v>
      </c>
      <c r="I1099" s="5">
        <f t="shared" si="40"/>
        <v>6.0091455787618575E-3</v>
      </c>
      <c r="K1099" s="5">
        <f t="shared" si="41"/>
        <v>1097</v>
      </c>
      <c r="L1099" s="5">
        <v>2.5682922387759849E-2</v>
      </c>
    </row>
    <row r="1100" spans="1:12" x14ac:dyDescent="0.25">
      <c r="A1100" s="1">
        <v>45324</v>
      </c>
      <c r="B1100">
        <v>564.52001953125</v>
      </c>
      <c r="C1100">
        <v>567.79998779296875</v>
      </c>
      <c r="D1100">
        <v>562.3699951171875</v>
      </c>
      <c r="E1100">
        <v>564.6400146484375</v>
      </c>
      <c r="F1100">
        <v>564.6400146484375</v>
      </c>
      <c r="G1100">
        <v>4030800</v>
      </c>
      <c r="I1100" s="5">
        <f t="shared" si="40"/>
        <v>-5.070001683600325E-3</v>
      </c>
      <c r="K1100" s="5">
        <f t="shared" si="41"/>
        <v>1098</v>
      </c>
      <c r="L1100" s="5">
        <v>2.571769726250776E-2</v>
      </c>
    </row>
    <row r="1101" spans="1:12" x14ac:dyDescent="0.25">
      <c r="A1101" s="1">
        <v>45327</v>
      </c>
      <c r="B1101">
        <v>562.469970703125</v>
      </c>
      <c r="C1101">
        <v>575.75</v>
      </c>
      <c r="D1101">
        <v>557.20001220703125</v>
      </c>
      <c r="E1101">
        <v>562.05999755859375</v>
      </c>
      <c r="F1101">
        <v>562.05999755859375</v>
      </c>
      <c r="G1101">
        <v>4143100</v>
      </c>
      <c r="I1101" s="5">
        <f t="shared" si="40"/>
        <v>-4.5797844526862504E-3</v>
      </c>
      <c r="K1101" s="5">
        <f t="shared" si="41"/>
        <v>1099</v>
      </c>
      <c r="L1101" s="5">
        <v>2.5779890166238689E-2</v>
      </c>
    </row>
    <row r="1102" spans="1:12" x14ac:dyDescent="0.25">
      <c r="A1102" s="1">
        <v>45328</v>
      </c>
      <c r="B1102">
        <v>564.1199951171875</v>
      </c>
      <c r="C1102">
        <v>566.34002685546875</v>
      </c>
      <c r="D1102">
        <v>554.3699951171875</v>
      </c>
      <c r="E1102">
        <v>555.8800048828125</v>
      </c>
      <c r="F1102">
        <v>555.8800048828125</v>
      </c>
      <c r="G1102">
        <v>2840300</v>
      </c>
      <c r="I1102" s="5">
        <f t="shared" si="40"/>
        <v>-1.1056149014927673E-2</v>
      </c>
      <c r="K1102" s="5">
        <f t="shared" si="41"/>
        <v>1100</v>
      </c>
      <c r="L1102" s="5">
        <v>2.5843546255986512E-2</v>
      </c>
    </row>
    <row r="1103" spans="1:12" x14ac:dyDescent="0.25">
      <c r="A1103" s="1">
        <v>45329</v>
      </c>
      <c r="B1103">
        <v>558.15997314453125</v>
      </c>
      <c r="C1103">
        <v>567.79998779296875</v>
      </c>
      <c r="D1103">
        <v>554.97998046875</v>
      </c>
      <c r="E1103">
        <v>559.29998779296875</v>
      </c>
      <c r="F1103">
        <v>559.29998779296875</v>
      </c>
      <c r="G1103">
        <v>4373600</v>
      </c>
      <c r="I1103" s="5">
        <f t="shared" si="40"/>
        <v>6.1335275996760629E-3</v>
      </c>
      <c r="K1103" s="5">
        <f t="shared" si="41"/>
        <v>1101</v>
      </c>
      <c r="L1103" s="5">
        <v>2.5964420730061177E-2</v>
      </c>
    </row>
    <row r="1104" spans="1:12" x14ac:dyDescent="0.25">
      <c r="A1104" s="1">
        <v>45330</v>
      </c>
      <c r="B1104">
        <v>560.54998779296875</v>
      </c>
      <c r="C1104">
        <v>563.70001220703125</v>
      </c>
      <c r="D1104">
        <v>555.739990234375</v>
      </c>
      <c r="E1104">
        <v>558.530029296875</v>
      </c>
      <c r="F1104">
        <v>558.530029296875</v>
      </c>
      <c r="G1104">
        <v>3175500</v>
      </c>
      <c r="I1104" s="5">
        <f t="shared" si="40"/>
        <v>-1.3775951729497827E-3</v>
      </c>
      <c r="K1104" s="5">
        <f t="shared" si="41"/>
        <v>1102</v>
      </c>
      <c r="L1104" s="5">
        <v>2.600213451235741E-2</v>
      </c>
    </row>
    <row r="1105" spans="1:12" x14ac:dyDescent="0.25">
      <c r="A1105" s="1">
        <v>45331</v>
      </c>
      <c r="B1105">
        <v>565</v>
      </c>
      <c r="C1105">
        <v>566</v>
      </c>
      <c r="D1105">
        <v>558.0999755859375</v>
      </c>
      <c r="E1105">
        <v>561.32000732421875</v>
      </c>
      <c r="F1105">
        <v>561.32000732421875</v>
      </c>
      <c r="G1105">
        <v>3055700</v>
      </c>
      <c r="I1105" s="5">
        <f t="shared" si="40"/>
        <v>4.9827811021002375E-3</v>
      </c>
      <c r="K1105" s="5">
        <f t="shared" si="41"/>
        <v>1103</v>
      </c>
      <c r="L1105" s="5">
        <v>2.6029590652926312E-2</v>
      </c>
    </row>
    <row r="1106" spans="1:12" x14ac:dyDescent="0.25">
      <c r="A1106" s="1">
        <v>45334</v>
      </c>
      <c r="B1106">
        <v>560.3599853515625</v>
      </c>
      <c r="C1106">
        <v>568.44000244140625</v>
      </c>
      <c r="D1106">
        <v>557</v>
      </c>
      <c r="E1106">
        <v>557.8499755859375</v>
      </c>
      <c r="F1106">
        <v>557.8499755859375</v>
      </c>
      <c r="G1106">
        <v>3608500</v>
      </c>
      <c r="I1106" s="5">
        <f t="shared" si="40"/>
        <v>-6.2011006565175089E-3</v>
      </c>
      <c r="K1106" s="5">
        <f t="shared" si="41"/>
        <v>1104</v>
      </c>
      <c r="L1106" s="5">
        <v>2.6109955624898463E-2</v>
      </c>
    </row>
    <row r="1107" spans="1:12" x14ac:dyDescent="0.25">
      <c r="A1107" s="1">
        <v>45335</v>
      </c>
      <c r="B1107">
        <v>550.79998779296875</v>
      </c>
      <c r="C1107">
        <v>559.20001220703125</v>
      </c>
      <c r="D1107">
        <v>549</v>
      </c>
      <c r="E1107">
        <v>554.52001953125</v>
      </c>
      <c r="F1107">
        <v>554.52001953125</v>
      </c>
      <c r="G1107">
        <v>3511500</v>
      </c>
      <c r="I1107" s="5">
        <f t="shared" si="40"/>
        <v>-5.9871553825445881E-3</v>
      </c>
      <c r="K1107" s="5">
        <f t="shared" si="41"/>
        <v>1105</v>
      </c>
      <c r="L1107" s="5">
        <v>2.6227567380871574E-2</v>
      </c>
    </row>
    <row r="1108" spans="1:12" x14ac:dyDescent="0.25">
      <c r="A1108" s="1">
        <v>45336</v>
      </c>
      <c r="B1108">
        <v>567.260009765625</v>
      </c>
      <c r="C1108">
        <v>581.25</v>
      </c>
      <c r="D1108">
        <v>564.34002685546875</v>
      </c>
      <c r="E1108">
        <v>579.33001708984375</v>
      </c>
      <c r="F1108">
        <v>579.33001708984375</v>
      </c>
      <c r="G1108">
        <v>5634200</v>
      </c>
      <c r="I1108" s="5">
        <f t="shared" si="40"/>
        <v>4.3769383007989736E-2</v>
      </c>
      <c r="K1108" s="5">
        <f t="shared" si="41"/>
        <v>1106</v>
      </c>
      <c r="L1108" s="5">
        <v>2.633930795092497E-2</v>
      </c>
    </row>
    <row r="1109" spans="1:12" x14ac:dyDescent="0.25">
      <c r="A1109" s="1">
        <v>45337</v>
      </c>
      <c r="B1109">
        <v>581.90997314453125</v>
      </c>
      <c r="C1109">
        <v>593.77001953125</v>
      </c>
      <c r="D1109">
        <v>580.32000732421875</v>
      </c>
      <c r="E1109">
        <v>593.46002197265625</v>
      </c>
      <c r="F1109">
        <v>593.46002197265625</v>
      </c>
      <c r="G1109">
        <v>5220900</v>
      </c>
      <c r="I1109" s="5">
        <f t="shared" si="40"/>
        <v>2.4097559104398095E-2</v>
      </c>
      <c r="K1109" s="5">
        <f t="shared" si="41"/>
        <v>1107</v>
      </c>
      <c r="L1109" s="5">
        <v>2.6595371330056836E-2</v>
      </c>
    </row>
    <row r="1110" spans="1:12" x14ac:dyDescent="0.25">
      <c r="A1110" s="1">
        <v>45338</v>
      </c>
      <c r="B1110">
        <v>596.95001220703125</v>
      </c>
      <c r="C1110">
        <v>597</v>
      </c>
      <c r="D1110">
        <v>577.46002197265625</v>
      </c>
      <c r="E1110">
        <v>583.95001220703125</v>
      </c>
      <c r="F1110">
        <v>583.95001220703125</v>
      </c>
      <c r="G1110">
        <v>4323600</v>
      </c>
      <c r="I1110" s="5">
        <f t="shared" si="40"/>
        <v>-1.6154468375651571E-2</v>
      </c>
      <c r="K1110" s="5">
        <f t="shared" si="41"/>
        <v>1108</v>
      </c>
      <c r="L1110" s="5">
        <v>2.6830902612461256E-2</v>
      </c>
    </row>
    <row r="1111" spans="1:12" x14ac:dyDescent="0.25">
      <c r="A1111" s="1">
        <v>45342</v>
      </c>
      <c r="B1111">
        <v>580.17999267578125</v>
      </c>
      <c r="C1111">
        <v>586</v>
      </c>
      <c r="D1111">
        <v>569.65997314453125</v>
      </c>
      <c r="E1111">
        <v>575.1300048828125</v>
      </c>
      <c r="F1111">
        <v>575.1300048828125</v>
      </c>
      <c r="G1111">
        <v>3124200</v>
      </c>
      <c r="I1111" s="5">
        <f t="shared" si="40"/>
        <v>-1.5219272938818702E-2</v>
      </c>
      <c r="K1111" s="5">
        <f t="shared" si="41"/>
        <v>1109</v>
      </c>
      <c r="L1111" s="5">
        <v>2.6869948674616641E-2</v>
      </c>
    </row>
    <row r="1112" spans="1:12" x14ac:dyDescent="0.25">
      <c r="A1112" s="1">
        <v>45343</v>
      </c>
      <c r="B1112">
        <v>573.510009765625</v>
      </c>
      <c r="C1112">
        <v>575.780029296875</v>
      </c>
      <c r="D1112">
        <v>567.32000732421875</v>
      </c>
      <c r="E1112">
        <v>573.3499755859375</v>
      </c>
      <c r="F1112">
        <v>573.3499755859375</v>
      </c>
      <c r="G1112">
        <v>2281100</v>
      </c>
      <c r="I1112" s="5">
        <f t="shared" si="40"/>
        <v>-3.0998027871128602E-3</v>
      </c>
      <c r="K1112" s="5">
        <f t="shared" si="41"/>
        <v>1110</v>
      </c>
      <c r="L1112" s="5">
        <v>2.7026531061176813E-2</v>
      </c>
    </row>
    <row r="1113" spans="1:12" x14ac:dyDescent="0.25">
      <c r="A1113" s="1">
        <v>45344</v>
      </c>
      <c r="B1113">
        <v>582.75</v>
      </c>
      <c r="C1113">
        <v>590.8499755859375</v>
      </c>
      <c r="D1113">
        <v>578.8900146484375</v>
      </c>
      <c r="E1113">
        <v>588.469970703125</v>
      </c>
      <c r="F1113">
        <v>588.469970703125</v>
      </c>
      <c r="G1113">
        <v>3526600</v>
      </c>
      <c r="I1113" s="5">
        <f t="shared" si="40"/>
        <v>2.6029590652926312E-2</v>
      </c>
      <c r="K1113" s="5">
        <f t="shared" si="41"/>
        <v>1111</v>
      </c>
      <c r="L1113" s="5">
        <v>2.703046527821916E-2</v>
      </c>
    </row>
    <row r="1114" spans="1:12" x14ac:dyDescent="0.25">
      <c r="A1114" s="1">
        <v>45345</v>
      </c>
      <c r="B1114">
        <v>586.4000244140625</v>
      </c>
      <c r="C1114">
        <v>592.42999267578125</v>
      </c>
      <c r="D1114">
        <v>579.82000732421875</v>
      </c>
      <c r="E1114">
        <v>583.55999755859375</v>
      </c>
      <c r="F1114">
        <v>583.55999755859375</v>
      </c>
      <c r="G1114">
        <v>2568900</v>
      </c>
      <c r="I1114" s="5">
        <f t="shared" si="40"/>
        <v>-8.3786285357568928E-3</v>
      </c>
      <c r="K1114" s="5">
        <f t="shared" si="41"/>
        <v>1112</v>
      </c>
      <c r="L1114" s="5">
        <v>2.7090158654227293E-2</v>
      </c>
    </row>
    <row r="1115" spans="1:12" x14ac:dyDescent="0.25">
      <c r="A1115" s="1">
        <v>45348</v>
      </c>
      <c r="B1115">
        <v>583.55999755859375</v>
      </c>
      <c r="C1115">
        <v>590.75</v>
      </c>
      <c r="D1115">
        <v>583.27001953125</v>
      </c>
      <c r="E1115">
        <v>587.6500244140625</v>
      </c>
      <c r="F1115">
        <v>587.6500244140625</v>
      </c>
      <c r="G1115">
        <v>2393700</v>
      </c>
      <c r="I1115" s="5">
        <f t="shared" si="40"/>
        <v>6.9843041040534674E-3</v>
      </c>
      <c r="K1115" s="5">
        <f t="shared" si="41"/>
        <v>1113</v>
      </c>
      <c r="L1115" s="5">
        <v>2.7090363195536232E-2</v>
      </c>
    </row>
    <row r="1116" spans="1:12" x14ac:dyDescent="0.25">
      <c r="A1116" s="1">
        <v>45349</v>
      </c>
      <c r="B1116">
        <v>595</v>
      </c>
      <c r="C1116">
        <v>605.3599853515625</v>
      </c>
      <c r="D1116">
        <v>592.33001708984375</v>
      </c>
      <c r="E1116">
        <v>601.66998291015625</v>
      </c>
      <c r="F1116">
        <v>601.66998291015625</v>
      </c>
      <c r="G1116">
        <v>4489400</v>
      </c>
      <c r="I1116" s="5">
        <f t="shared" si="40"/>
        <v>2.3577519721608455E-2</v>
      </c>
      <c r="K1116" s="5">
        <f t="shared" si="41"/>
        <v>1114</v>
      </c>
      <c r="L1116" s="5">
        <v>2.7219894990443607E-2</v>
      </c>
    </row>
    <row r="1117" spans="1:12" x14ac:dyDescent="0.25">
      <c r="A1117" s="1">
        <v>45350</v>
      </c>
      <c r="B1117">
        <v>595.78997802734375</v>
      </c>
      <c r="C1117">
        <v>598.16998291015625</v>
      </c>
      <c r="D1117">
        <v>590.010009765625</v>
      </c>
      <c r="E1117">
        <v>596.47998046875</v>
      </c>
      <c r="F1117">
        <v>596.47998046875</v>
      </c>
      <c r="G1117">
        <v>2605200</v>
      </c>
      <c r="I1117" s="5">
        <f t="shared" si="40"/>
        <v>-8.663414532725797E-3</v>
      </c>
      <c r="K1117" s="5">
        <f t="shared" si="41"/>
        <v>1115</v>
      </c>
      <c r="L1117" s="5">
        <v>2.7318836943867726E-2</v>
      </c>
    </row>
    <row r="1118" spans="1:12" x14ac:dyDescent="0.25">
      <c r="A1118" s="1">
        <v>45351</v>
      </c>
      <c r="B1118">
        <v>604.25</v>
      </c>
      <c r="C1118">
        <v>604.52001953125</v>
      </c>
      <c r="D1118">
        <v>595.15997314453125</v>
      </c>
      <c r="E1118">
        <v>602.91998291015625</v>
      </c>
      <c r="F1118">
        <v>602.91998291015625</v>
      </c>
      <c r="G1118">
        <v>3572100</v>
      </c>
      <c r="I1118" s="5">
        <f t="shared" si="40"/>
        <v>1.0738810284212733E-2</v>
      </c>
      <c r="K1118" s="5">
        <f t="shared" si="41"/>
        <v>1116</v>
      </c>
      <c r="L1118" s="5">
        <v>2.7360109792217126E-2</v>
      </c>
    </row>
    <row r="1119" spans="1:12" x14ac:dyDescent="0.25">
      <c r="A1119" s="1">
        <v>45352</v>
      </c>
      <c r="B1119">
        <v>599.80999755859375</v>
      </c>
      <c r="C1119">
        <v>620.280029296875</v>
      </c>
      <c r="D1119">
        <v>599.5</v>
      </c>
      <c r="E1119">
        <v>619.34002685546875</v>
      </c>
      <c r="F1119">
        <v>619.34002685546875</v>
      </c>
      <c r="G1119">
        <v>4264200</v>
      </c>
      <c r="I1119" s="5">
        <f t="shared" si="40"/>
        <v>2.6869948674616641E-2</v>
      </c>
      <c r="K1119" s="5">
        <f t="shared" si="41"/>
        <v>1117</v>
      </c>
      <c r="L1119" s="5">
        <v>2.7404556234566113E-2</v>
      </c>
    </row>
    <row r="1120" spans="1:12" x14ac:dyDescent="0.25">
      <c r="A1120" s="1">
        <v>45355</v>
      </c>
      <c r="B1120">
        <v>621.55999755859375</v>
      </c>
      <c r="C1120">
        <v>624.41998291015625</v>
      </c>
      <c r="D1120">
        <v>615.08001708984375</v>
      </c>
      <c r="E1120">
        <v>615.83001708984375</v>
      </c>
      <c r="F1120">
        <v>615.83001708984375</v>
      </c>
      <c r="G1120">
        <v>3020300</v>
      </c>
      <c r="I1120" s="5">
        <f t="shared" si="40"/>
        <v>-5.6834591012005177E-3</v>
      </c>
      <c r="K1120" s="5">
        <f t="shared" si="41"/>
        <v>1118</v>
      </c>
      <c r="L1120" s="5">
        <v>2.7465033168982578E-2</v>
      </c>
    </row>
    <row r="1121" spans="1:12" x14ac:dyDescent="0.25">
      <c r="A1121" s="1">
        <v>45356</v>
      </c>
      <c r="B1121">
        <v>610.0999755859375</v>
      </c>
      <c r="C1121">
        <v>610.90997314453125</v>
      </c>
      <c r="D1121">
        <v>592</v>
      </c>
      <c r="E1121">
        <v>598.5</v>
      </c>
      <c r="F1121">
        <v>598.5</v>
      </c>
      <c r="G1121">
        <v>3849600</v>
      </c>
      <c r="I1121" s="5">
        <f t="shared" si="40"/>
        <v>-2.8544454172589755E-2</v>
      </c>
      <c r="K1121" s="5">
        <f t="shared" si="41"/>
        <v>1119</v>
      </c>
      <c r="L1121" s="5">
        <v>2.7893405482385898E-2</v>
      </c>
    </row>
    <row r="1122" spans="1:12" x14ac:dyDescent="0.25">
      <c r="A1122" s="1">
        <v>45357</v>
      </c>
      <c r="B1122">
        <v>602.989990234375</v>
      </c>
      <c r="C1122">
        <v>607.92999267578125</v>
      </c>
      <c r="D1122">
        <v>593.55999755859375</v>
      </c>
      <c r="E1122">
        <v>597.69000244140625</v>
      </c>
      <c r="F1122">
        <v>597.69000244140625</v>
      </c>
      <c r="G1122">
        <v>2469600</v>
      </c>
      <c r="I1122" s="5">
        <f t="shared" si="40"/>
        <v>-1.3542960244494603E-3</v>
      </c>
      <c r="K1122" s="5">
        <f t="shared" si="41"/>
        <v>1120</v>
      </c>
      <c r="L1122" s="5">
        <v>2.7912811477669455E-2</v>
      </c>
    </row>
    <row r="1123" spans="1:12" x14ac:dyDescent="0.25">
      <c r="A1123" s="1">
        <v>45358</v>
      </c>
      <c r="B1123">
        <v>599.34002685546875</v>
      </c>
      <c r="C1123">
        <v>610.530029296875</v>
      </c>
      <c r="D1123">
        <v>595.9000244140625</v>
      </c>
      <c r="E1123">
        <v>608.510009765625</v>
      </c>
      <c r="F1123">
        <v>608.510009765625</v>
      </c>
      <c r="G1123">
        <v>2742800</v>
      </c>
      <c r="I1123" s="5">
        <f t="shared" si="40"/>
        <v>1.794113322112938E-2</v>
      </c>
      <c r="K1123" s="5">
        <f t="shared" si="41"/>
        <v>1121</v>
      </c>
      <c r="L1123" s="5">
        <v>2.8136972838159836E-2</v>
      </c>
    </row>
    <row r="1124" spans="1:12" x14ac:dyDescent="0.25">
      <c r="A1124" s="1">
        <v>45359</v>
      </c>
      <c r="B1124">
        <v>608.27001953125</v>
      </c>
      <c r="C1124">
        <v>616.09002685546875</v>
      </c>
      <c r="D1124">
        <v>600.84002685546875</v>
      </c>
      <c r="E1124">
        <v>604.82000732421875</v>
      </c>
      <c r="F1124">
        <v>604.82000732421875</v>
      </c>
      <c r="G1124">
        <v>2774600</v>
      </c>
      <c r="I1124" s="5">
        <f t="shared" si="40"/>
        <v>-6.0824569833262728E-3</v>
      </c>
      <c r="K1124" s="5">
        <f t="shared" si="41"/>
        <v>1122</v>
      </c>
      <c r="L1124" s="5">
        <v>2.8203958192010523E-2</v>
      </c>
    </row>
    <row r="1125" spans="1:12" x14ac:dyDescent="0.25">
      <c r="A1125" s="1">
        <v>45362</v>
      </c>
      <c r="B1125">
        <v>608.08001708984375</v>
      </c>
      <c r="C1125">
        <v>611</v>
      </c>
      <c r="D1125">
        <v>600.3699951171875</v>
      </c>
      <c r="E1125">
        <v>600.92999267578125</v>
      </c>
      <c r="F1125">
        <v>600.92999267578125</v>
      </c>
      <c r="G1125">
        <v>2500900</v>
      </c>
      <c r="I1125" s="5">
        <f t="shared" si="40"/>
        <v>-6.4524621935242513E-3</v>
      </c>
      <c r="K1125" s="5">
        <f t="shared" si="41"/>
        <v>1123</v>
      </c>
      <c r="L1125" s="5">
        <v>2.8242072031331802E-2</v>
      </c>
    </row>
    <row r="1126" spans="1:12" x14ac:dyDescent="0.25">
      <c r="A1126" s="1">
        <v>45363</v>
      </c>
      <c r="B1126">
        <v>600.21002197265625</v>
      </c>
      <c r="C1126">
        <v>615.29998779296875</v>
      </c>
      <c r="D1126">
        <v>596.27001953125</v>
      </c>
      <c r="E1126">
        <v>611.08001708984375</v>
      </c>
      <c r="F1126">
        <v>611.08001708984375</v>
      </c>
      <c r="G1126">
        <v>2821600</v>
      </c>
      <c r="I1126" s="5">
        <f t="shared" si="40"/>
        <v>1.6749468446287174E-2</v>
      </c>
      <c r="K1126" s="5">
        <f t="shared" si="41"/>
        <v>1124</v>
      </c>
      <c r="L1126" s="5">
        <v>2.8573354178990658E-2</v>
      </c>
    </row>
    <row r="1127" spans="1:12" x14ac:dyDescent="0.25">
      <c r="A1127" s="1">
        <v>45364</v>
      </c>
      <c r="B1127">
        <v>613.3699951171875</v>
      </c>
      <c r="C1127">
        <v>614.8499755859375</v>
      </c>
      <c r="D1127">
        <v>607.21002197265625</v>
      </c>
      <c r="E1127">
        <v>609.45001220703125</v>
      </c>
      <c r="F1127">
        <v>609.45001220703125</v>
      </c>
      <c r="G1127">
        <v>2192100</v>
      </c>
      <c r="I1127" s="5">
        <f t="shared" si="40"/>
        <v>-2.6709803327129439E-3</v>
      </c>
      <c r="K1127" s="5">
        <f t="shared" si="41"/>
        <v>1125</v>
      </c>
      <c r="L1127" s="5">
        <v>2.8636204763079137E-2</v>
      </c>
    </row>
    <row r="1128" spans="1:12" x14ac:dyDescent="0.25">
      <c r="A1128" s="1">
        <v>45365</v>
      </c>
      <c r="B1128">
        <v>615</v>
      </c>
      <c r="C1128">
        <v>620.79998779296875</v>
      </c>
      <c r="D1128">
        <v>607.3499755859375</v>
      </c>
      <c r="E1128">
        <v>613.010009765625</v>
      </c>
      <c r="F1128">
        <v>613.010009765625</v>
      </c>
      <c r="G1128">
        <v>3120500</v>
      </c>
      <c r="I1128" s="5">
        <f t="shared" si="40"/>
        <v>5.8243338160367955E-3</v>
      </c>
      <c r="K1128" s="5">
        <f t="shared" si="41"/>
        <v>1126</v>
      </c>
      <c r="L1128" s="5">
        <v>2.8645266463923569E-2</v>
      </c>
    </row>
    <row r="1129" spans="1:12" x14ac:dyDescent="0.25">
      <c r="A1129" s="1">
        <v>45366</v>
      </c>
      <c r="B1129">
        <v>622.91998291015625</v>
      </c>
      <c r="C1129">
        <v>622.91998291015625</v>
      </c>
      <c r="D1129">
        <v>603.82000732421875</v>
      </c>
      <c r="E1129">
        <v>605.8800048828125</v>
      </c>
      <c r="F1129">
        <v>605.8800048828125</v>
      </c>
      <c r="G1129">
        <v>6670900</v>
      </c>
      <c r="I1129" s="5">
        <f t="shared" si="40"/>
        <v>-1.1699310229601426E-2</v>
      </c>
      <c r="K1129" s="5">
        <f t="shared" si="41"/>
        <v>1127</v>
      </c>
      <c r="L1129" s="5">
        <v>2.8688250752133833E-2</v>
      </c>
    </row>
    <row r="1130" spans="1:12" x14ac:dyDescent="0.25">
      <c r="A1130" s="1">
        <v>45369</v>
      </c>
      <c r="B1130">
        <v>613.55999755859375</v>
      </c>
      <c r="C1130">
        <v>627.40997314453125</v>
      </c>
      <c r="D1130">
        <v>610.45001220703125</v>
      </c>
      <c r="E1130">
        <v>618.3900146484375</v>
      </c>
      <c r="F1130">
        <v>618.3900146484375</v>
      </c>
      <c r="G1130">
        <v>3344200</v>
      </c>
      <c r="I1130" s="5">
        <f t="shared" si="40"/>
        <v>2.0437395349361336E-2</v>
      </c>
      <c r="K1130" s="5">
        <f t="shared" si="41"/>
        <v>1128</v>
      </c>
      <c r="L1130" s="5">
        <v>2.8856385408800547E-2</v>
      </c>
    </row>
    <row r="1131" spans="1:12" x14ac:dyDescent="0.25">
      <c r="A1131" s="1">
        <v>45370</v>
      </c>
      <c r="B1131">
        <v>615.6199951171875</v>
      </c>
      <c r="C1131">
        <v>621.280029296875</v>
      </c>
      <c r="D1131">
        <v>608</v>
      </c>
      <c r="E1131">
        <v>620.739990234375</v>
      </c>
      <c r="F1131">
        <v>620.739990234375</v>
      </c>
      <c r="G1131">
        <v>2142600</v>
      </c>
      <c r="I1131" s="5">
        <f t="shared" si="40"/>
        <v>3.792948914151347E-3</v>
      </c>
      <c r="K1131" s="5">
        <f t="shared" si="41"/>
        <v>1129</v>
      </c>
      <c r="L1131" s="5">
        <v>2.9099751531690487E-2</v>
      </c>
    </row>
    <row r="1132" spans="1:12" x14ac:dyDescent="0.25">
      <c r="A1132" s="1">
        <v>45371</v>
      </c>
      <c r="B1132">
        <v>619.95001220703125</v>
      </c>
      <c r="C1132">
        <v>629.510009765625</v>
      </c>
      <c r="D1132">
        <v>618.34002685546875</v>
      </c>
      <c r="E1132">
        <v>627.69000244140625</v>
      </c>
      <c r="F1132">
        <v>627.69000244140625</v>
      </c>
      <c r="G1132">
        <v>2639500</v>
      </c>
      <c r="I1132" s="5">
        <f t="shared" si="40"/>
        <v>1.1134118927399583E-2</v>
      </c>
      <c r="K1132" s="5">
        <f t="shared" si="41"/>
        <v>1130</v>
      </c>
      <c r="L1132" s="5">
        <v>2.9158894004811437E-2</v>
      </c>
    </row>
    <row r="1133" spans="1:12" x14ac:dyDescent="0.25">
      <c r="A1133" s="1">
        <v>45372</v>
      </c>
      <c r="B1133">
        <v>630.6500244140625</v>
      </c>
      <c r="C1133">
        <v>634.3599853515625</v>
      </c>
      <c r="D1133">
        <v>622.33001708984375</v>
      </c>
      <c r="E1133">
        <v>622.71002197265625</v>
      </c>
      <c r="F1133">
        <v>622.71002197265625</v>
      </c>
      <c r="G1133">
        <v>2507700</v>
      </c>
      <c r="I1133" s="5">
        <f t="shared" si="40"/>
        <v>-7.9654617763044097E-3</v>
      </c>
      <c r="K1133" s="5">
        <f t="shared" si="41"/>
        <v>1131</v>
      </c>
      <c r="L1133" s="5">
        <v>2.9191957663242566E-2</v>
      </c>
    </row>
    <row r="1134" spans="1:12" x14ac:dyDescent="0.25">
      <c r="A1134" s="1">
        <v>45373</v>
      </c>
      <c r="B1134">
        <v>624.15997314453125</v>
      </c>
      <c r="C1134">
        <v>629.04998779296875</v>
      </c>
      <c r="D1134">
        <v>621</v>
      </c>
      <c r="E1134">
        <v>628.010009765625</v>
      </c>
      <c r="F1134">
        <v>628.010009765625</v>
      </c>
      <c r="G1134">
        <v>2134100</v>
      </c>
      <c r="I1134" s="5">
        <f t="shared" si="40"/>
        <v>8.4751493259348273E-3</v>
      </c>
      <c r="K1134" s="5">
        <f t="shared" si="41"/>
        <v>1132</v>
      </c>
      <c r="L1134" s="5">
        <v>2.9349405979220665E-2</v>
      </c>
    </row>
    <row r="1135" spans="1:12" x14ac:dyDescent="0.25">
      <c r="A1135" s="1">
        <v>45376</v>
      </c>
      <c r="B1135">
        <v>627.9000244140625</v>
      </c>
      <c r="C1135">
        <v>630.46002197265625</v>
      </c>
      <c r="D1135">
        <v>623.15997314453125</v>
      </c>
      <c r="E1135">
        <v>627.46002197265625</v>
      </c>
      <c r="F1135">
        <v>627.46002197265625</v>
      </c>
      <c r="G1135">
        <v>1803300</v>
      </c>
      <c r="I1135" s="5">
        <f t="shared" si="40"/>
        <v>-8.7614648577417475E-4</v>
      </c>
      <c r="K1135" s="5">
        <f t="shared" si="41"/>
        <v>1133</v>
      </c>
      <c r="L1135" s="5">
        <v>2.9554453145121267E-2</v>
      </c>
    </row>
    <row r="1136" spans="1:12" x14ac:dyDescent="0.25">
      <c r="A1136" s="1">
        <v>45377</v>
      </c>
      <c r="B1136">
        <v>625.20001220703125</v>
      </c>
      <c r="C1136">
        <v>634.3900146484375</v>
      </c>
      <c r="D1136">
        <v>619.17999267578125</v>
      </c>
      <c r="E1136">
        <v>629.239990234375</v>
      </c>
      <c r="F1136">
        <v>629.239990234375</v>
      </c>
      <c r="G1136">
        <v>2804500</v>
      </c>
      <c r="I1136" s="5">
        <f t="shared" si="40"/>
        <v>2.8327674619542179E-3</v>
      </c>
      <c r="K1136" s="5">
        <f t="shared" si="41"/>
        <v>1134</v>
      </c>
      <c r="L1136" s="5">
        <v>2.9564747254846674E-2</v>
      </c>
    </row>
    <row r="1137" spans="1:12" x14ac:dyDescent="0.25">
      <c r="A1137" s="1">
        <v>45378</v>
      </c>
      <c r="B1137">
        <v>629.010009765625</v>
      </c>
      <c r="C1137">
        <v>631.3499755859375</v>
      </c>
      <c r="D1137">
        <v>610.72998046875</v>
      </c>
      <c r="E1137">
        <v>613.530029296875</v>
      </c>
      <c r="F1137">
        <v>613.530029296875</v>
      </c>
      <c r="G1137">
        <v>2628300</v>
      </c>
      <c r="I1137" s="5">
        <f t="shared" si="40"/>
        <v>-2.5283515972345096E-2</v>
      </c>
      <c r="K1137" s="5">
        <f t="shared" si="41"/>
        <v>1135</v>
      </c>
      <c r="L1137" s="5">
        <v>2.9890368591372143E-2</v>
      </c>
    </row>
    <row r="1138" spans="1:12" x14ac:dyDescent="0.25">
      <c r="A1138" s="1">
        <v>45379</v>
      </c>
      <c r="B1138">
        <v>614.989990234375</v>
      </c>
      <c r="C1138">
        <v>615</v>
      </c>
      <c r="D1138">
        <v>601.59002685546875</v>
      </c>
      <c r="E1138">
        <v>607.33001708984375</v>
      </c>
      <c r="F1138">
        <v>607.33001708984375</v>
      </c>
      <c r="G1138">
        <v>3708800</v>
      </c>
      <c r="I1138" s="5">
        <f t="shared" si="40"/>
        <v>-1.0156881660412488E-2</v>
      </c>
      <c r="K1138" s="5">
        <f t="shared" si="41"/>
        <v>1136</v>
      </c>
      <c r="L1138" s="5">
        <v>2.9977240871564743E-2</v>
      </c>
    </row>
    <row r="1139" spans="1:12" x14ac:dyDescent="0.25">
      <c r="A1139" s="1">
        <v>45383</v>
      </c>
      <c r="B1139">
        <v>608</v>
      </c>
      <c r="C1139">
        <v>615.1099853515625</v>
      </c>
      <c r="D1139">
        <v>605.57000732421875</v>
      </c>
      <c r="E1139">
        <v>614.30999755859375</v>
      </c>
      <c r="F1139">
        <v>614.30999755859375</v>
      </c>
      <c r="G1139">
        <v>2115900</v>
      </c>
      <c r="I1139" s="5">
        <f t="shared" si="40"/>
        <v>1.1427353952521207E-2</v>
      </c>
      <c r="K1139" s="5">
        <f t="shared" si="41"/>
        <v>1137</v>
      </c>
      <c r="L1139" s="5">
        <v>3.0014472446100924E-2</v>
      </c>
    </row>
    <row r="1140" spans="1:12" x14ac:dyDescent="0.25">
      <c r="A1140" s="1">
        <v>45384</v>
      </c>
      <c r="B1140">
        <v>611</v>
      </c>
      <c r="C1140">
        <v>615.030029296875</v>
      </c>
      <c r="D1140">
        <v>605.510009765625</v>
      </c>
      <c r="E1140">
        <v>614.21002197265625</v>
      </c>
      <c r="F1140">
        <v>614.21002197265625</v>
      </c>
      <c r="G1140">
        <v>2029200</v>
      </c>
      <c r="I1140" s="5">
        <f t="shared" si="40"/>
        <v>-1.6275776473931465E-4</v>
      </c>
      <c r="K1140" s="5">
        <f t="shared" si="41"/>
        <v>1138</v>
      </c>
      <c r="L1140" s="5">
        <v>3.006361503746233E-2</v>
      </c>
    </row>
    <row r="1141" spans="1:12" x14ac:dyDescent="0.25">
      <c r="A1141" s="1">
        <v>45385</v>
      </c>
      <c r="B1141">
        <v>612.75</v>
      </c>
      <c r="C1141">
        <v>630.40997314453125</v>
      </c>
      <c r="D1141">
        <v>611.5</v>
      </c>
      <c r="E1141">
        <v>630.08001708984375</v>
      </c>
      <c r="F1141">
        <v>630.08001708984375</v>
      </c>
      <c r="G1141">
        <v>2931200</v>
      </c>
      <c r="I1141" s="5">
        <f t="shared" si="40"/>
        <v>2.5509897584438165E-2</v>
      </c>
      <c r="K1141" s="5">
        <f t="shared" si="41"/>
        <v>1139</v>
      </c>
      <c r="L1141" s="5">
        <v>3.0093626201316857E-2</v>
      </c>
    </row>
    <row r="1142" spans="1:12" x14ac:dyDescent="0.25">
      <c r="A1142" s="1">
        <v>45386</v>
      </c>
      <c r="B1142">
        <v>633.21002197265625</v>
      </c>
      <c r="C1142">
        <v>638</v>
      </c>
      <c r="D1142">
        <v>616.58001708984375</v>
      </c>
      <c r="E1142">
        <v>617.1400146484375</v>
      </c>
      <c r="F1142">
        <v>617.1400146484375</v>
      </c>
      <c r="G1142">
        <v>3064300</v>
      </c>
      <c r="I1142" s="5">
        <f t="shared" si="40"/>
        <v>-2.0750896295552251E-2</v>
      </c>
      <c r="K1142" s="5">
        <f t="shared" si="41"/>
        <v>1140</v>
      </c>
      <c r="L1142" s="5">
        <v>3.013502017409609E-2</v>
      </c>
    </row>
    <row r="1143" spans="1:12" x14ac:dyDescent="0.25">
      <c r="A1143" s="1">
        <v>45387</v>
      </c>
      <c r="B1143">
        <v>624.91998291015625</v>
      </c>
      <c r="C1143">
        <v>637.90997314453125</v>
      </c>
      <c r="D1143">
        <v>622.71002197265625</v>
      </c>
      <c r="E1143">
        <v>636.17999267578125</v>
      </c>
      <c r="F1143">
        <v>636.17999267578125</v>
      </c>
      <c r="G1143">
        <v>3372800</v>
      </c>
      <c r="I1143" s="5">
        <f t="shared" si="40"/>
        <v>3.0385604374452969E-2</v>
      </c>
      <c r="K1143" s="5">
        <f t="shared" si="41"/>
        <v>1141</v>
      </c>
      <c r="L1143" s="5">
        <v>3.0226923381582633E-2</v>
      </c>
    </row>
    <row r="1144" spans="1:12" x14ac:dyDescent="0.25">
      <c r="A1144" s="1">
        <v>45390</v>
      </c>
      <c r="B1144">
        <v>636.3900146484375</v>
      </c>
      <c r="C1144">
        <v>639</v>
      </c>
      <c r="D1144">
        <v>628.1099853515625</v>
      </c>
      <c r="E1144">
        <v>628.40997314453125</v>
      </c>
      <c r="F1144">
        <v>628.40997314453125</v>
      </c>
      <c r="G1144">
        <v>2145700</v>
      </c>
      <c r="I1144" s="5">
        <f t="shared" si="40"/>
        <v>-1.2288753702753943E-2</v>
      </c>
      <c r="K1144" s="5">
        <f t="shared" si="41"/>
        <v>1142</v>
      </c>
      <c r="L1144" s="5">
        <v>3.0244064533962091E-2</v>
      </c>
    </row>
    <row r="1145" spans="1:12" x14ac:dyDescent="0.25">
      <c r="A1145" s="1">
        <v>45391</v>
      </c>
      <c r="B1145">
        <v>631.989990234375</v>
      </c>
      <c r="C1145">
        <v>631.989990234375</v>
      </c>
      <c r="D1145">
        <v>615.6300048828125</v>
      </c>
      <c r="E1145">
        <v>618.20001220703125</v>
      </c>
      <c r="F1145">
        <v>618.20001220703125</v>
      </c>
      <c r="G1145">
        <v>2146600</v>
      </c>
      <c r="I1145" s="5">
        <f t="shared" si="40"/>
        <v>-1.6380727506095753E-2</v>
      </c>
      <c r="K1145" s="5">
        <f t="shared" si="41"/>
        <v>1143</v>
      </c>
      <c r="L1145" s="5">
        <v>3.0290784008014764E-2</v>
      </c>
    </row>
    <row r="1146" spans="1:12" x14ac:dyDescent="0.25">
      <c r="A1146" s="1">
        <v>45392</v>
      </c>
      <c r="B1146">
        <v>610.969970703125</v>
      </c>
      <c r="C1146">
        <v>620.1400146484375</v>
      </c>
      <c r="D1146">
        <v>609.34002685546875</v>
      </c>
      <c r="E1146">
        <v>618.58001708984375</v>
      </c>
      <c r="F1146">
        <v>618.58001708984375</v>
      </c>
      <c r="G1146">
        <v>2806200</v>
      </c>
      <c r="I1146" s="5">
        <f t="shared" si="40"/>
        <v>6.1450684158693785E-4</v>
      </c>
      <c r="K1146" s="5">
        <f t="shared" si="41"/>
        <v>1144</v>
      </c>
      <c r="L1146" s="5">
        <v>3.0302986059219248E-2</v>
      </c>
    </row>
    <row r="1147" spans="1:12" x14ac:dyDescent="0.25">
      <c r="A1147" s="1">
        <v>45393</v>
      </c>
      <c r="B1147">
        <v>624.41998291015625</v>
      </c>
      <c r="C1147">
        <v>631.65997314453125</v>
      </c>
      <c r="D1147">
        <v>617.239990234375</v>
      </c>
      <c r="E1147">
        <v>628.780029296875</v>
      </c>
      <c r="F1147">
        <v>628.780029296875</v>
      </c>
      <c r="G1147">
        <v>2662700</v>
      </c>
      <c r="I1147" s="5">
        <f t="shared" si="40"/>
        <v>1.6354924300892519E-2</v>
      </c>
      <c r="K1147" s="5">
        <f t="shared" si="41"/>
        <v>1145</v>
      </c>
      <c r="L1147" s="5">
        <v>3.0385604374452969E-2</v>
      </c>
    </row>
    <row r="1148" spans="1:12" x14ac:dyDescent="0.25">
      <c r="A1148" s="1">
        <v>45394</v>
      </c>
      <c r="B1148">
        <v>628.22998046875</v>
      </c>
      <c r="C1148">
        <v>633.1199951171875</v>
      </c>
      <c r="D1148">
        <v>618.91998291015625</v>
      </c>
      <c r="E1148">
        <v>622.83001708984375</v>
      </c>
      <c r="F1148">
        <v>622.83001708984375</v>
      </c>
      <c r="G1148">
        <v>2956500</v>
      </c>
      <c r="I1148" s="5">
        <f t="shared" si="40"/>
        <v>-9.5078447909973593E-3</v>
      </c>
      <c r="K1148" s="5">
        <f t="shared" si="41"/>
        <v>1146</v>
      </c>
      <c r="L1148" s="5">
        <v>3.0392965754428392E-2</v>
      </c>
    </row>
    <row r="1149" spans="1:12" x14ac:dyDescent="0.25">
      <c r="A1149" s="1">
        <v>45397</v>
      </c>
      <c r="B1149">
        <v>630.16998291015625</v>
      </c>
      <c r="C1149">
        <v>630.16998291015625</v>
      </c>
      <c r="D1149">
        <v>603.8699951171875</v>
      </c>
      <c r="E1149">
        <v>607.1500244140625</v>
      </c>
      <c r="F1149">
        <v>607.1500244140625</v>
      </c>
      <c r="G1149">
        <v>3085400</v>
      </c>
      <c r="I1149" s="5">
        <f t="shared" si="40"/>
        <v>-2.5497718084834264E-2</v>
      </c>
      <c r="K1149" s="5">
        <f t="shared" si="41"/>
        <v>1147</v>
      </c>
      <c r="L1149" s="5">
        <v>3.0508298310466295E-2</v>
      </c>
    </row>
    <row r="1150" spans="1:12" x14ac:dyDescent="0.25">
      <c r="A1150" s="1">
        <v>45398</v>
      </c>
      <c r="B1150">
        <v>607.5</v>
      </c>
      <c r="C1150">
        <v>622.45001220703125</v>
      </c>
      <c r="D1150">
        <v>607.5</v>
      </c>
      <c r="E1150">
        <v>617.52001953125</v>
      </c>
      <c r="F1150">
        <v>617.52001953125</v>
      </c>
      <c r="G1150">
        <v>3519100</v>
      </c>
      <c r="I1150" s="5">
        <f t="shared" si="40"/>
        <v>1.6935570559377104E-2</v>
      </c>
      <c r="K1150" s="5">
        <f t="shared" si="41"/>
        <v>1148</v>
      </c>
      <c r="L1150" s="5">
        <v>3.0544702582173584E-2</v>
      </c>
    </row>
    <row r="1151" spans="1:12" x14ac:dyDescent="0.25">
      <c r="A1151" s="1">
        <v>45399</v>
      </c>
      <c r="B1151">
        <v>620.969970703125</v>
      </c>
      <c r="C1151">
        <v>620.969970703125</v>
      </c>
      <c r="D1151">
        <v>607.71002197265625</v>
      </c>
      <c r="E1151">
        <v>613.69000244140625</v>
      </c>
      <c r="F1151">
        <v>613.69000244140625</v>
      </c>
      <c r="G1151">
        <v>3312200</v>
      </c>
      <c r="I1151" s="5">
        <f t="shared" si="40"/>
        <v>-6.221569636080412E-3</v>
      </c>
      <c r="K1151" s="5">
        <f t="shared" si="41"/>
        <v>1149</v>
      </c>
      <c r="L1151" s="5">
        <v>3.0941588710323271E-2</v>
      </c>
    </row>
    <row r="1152" spans="1:12" x14ac:dyDescent="0.25">
      <c r="A1152" s="1">
        <v>45400</v>
      </c>
      <c r="B1152">
        <v>612.0999755859375</v>
      </c>
      <c r="C1152">
        <v>621.33001708984375</v>
      </c>
      <c r="D1152">
        <v>605.42999267578125</v>
      </c>
      <c r="E1152">
        <v>610.55999755859375</v>
      </c>
      <c r="F1152">
        <v>610.55999755859375</v>
      </c>
      <c r="G1152">
        <v>8468400</v>
      </c>
      <c r="I1152" s="5">
        <f t="shared" si="40"/>
        <v>-5.1133538128151678E-3</v>
      </c>
      <c r="K1152" s="5">
        <f t="shared" si="41"/>
        <v>1150</v>
      </c>
      <c r="L1152" s="5">
        <v>3.0954624755273975E-2</v>
      </c>
    </row>
    <row r="1153" spans="1:12" x14ac:dyDescent="0.25">
      <c r="A1153" s="1">
        <v>45401</v>
      </c>
      <c r="B1153">
        <v>567.8800048828125</v>
      </c>
      <c r="C1153">
        <v>579</v>
      </c>
      <c r="D1153">
        <v>552.15997314453125</v>
      </c>
      <c r="E1153">
        <v>555.03997802734375</v>
      </c>
      <c r="F1153">
        <v>555.03997802734375</v>
      </c>
      <c r="G1153">
        <v>16425000</v>
      </c>
      <c r="I1153" s="5">
        <f t="shared" si="40"/>
        <v>-9.5336421187312198E-2</v>
      </c>
      <c r="K1153" s="5">
        <f t="shared" si="41"/>
        <v>1151</v>
      </c>
      <c r="L1153" s="5">
        <v>3.1017024018706582E-2</v>
      </c>
    </row>
    <row r="1154" spans="1:12" x14ac:dyDescent="0.25">
      <c r="A1154" s="1">
        <v>45404</v>
      </c>
      <c r="B1154">
        <v>550.65997314453125</v>
      </c>
      <c r="C1154">
        <v>558.6099853515625</v>
      </c>
      <c r="D1154">
        <v>542.010009765625</v>
      </c>
      <c r="E1154">
        <v>554.5999755859375</v>
      </c>
      <c r="F1154">
        <v>554.5999755859375</v>
      </c>
      <c r="G1154">
        <v>8597700</v>
      </c>
      <c r="I1154" s="5">
        <f t="shared" si="40"/>
        <v>-7.9305447327227875E-4</v>
      </c>
      <c r="K1154" s="5">
        <f t="shared" si="41"/>
        <v>1152</v>
      </c>
      <c r="L1154" s="5">
        <v>3.1073510226302285E-2</v>
      </c>
    </row>
    <row r="1155" spans="1:12" x14ac:dyDescent="0.25">
      <c r="A1155" s="1">
        <v>45405</v>
      </c>
      <c r="B1155">
        <v>556.489990234375</v>
      </c>
      <c r="C1155">
        <v>579.21002197265625</v>
      </c>
      <c r="D1155">
        <v>555.280029296875</v>
      </c>
      <c r="E1155">
        <v>577.75</v>
      </c>
      <c r="F1155">
        <v>577.75</v>
      </c>
      <c r="G1155">
        <v>4975500</v>
      </c>
      <c r="I1155" s="5">
        <f t="shared" si="40"/>
        <v>4.0894159993842064E-2</v>
      </c>
      <c r="K1155" s="5">
        <f t="shared" si="41"/>
        <v>1153</v>
      </c>
      <c r="L1155" s="5">
        <v>3.1146830033969824E-2</v>
      </c>
    </row>
    <row r="1156" spans="1:12" x14ac:dyDescent="0.25">
      <c r="A1156" s="1">
        <v>45406</v>
      </c>
      <c r="B1156">
        <v>574.30999755859375</v>
      </c>
      <c r="C1156">
        <v>576.90997314453125</v>
      </c>
      <c r="D1156">
        <v>551.29998779296875</v>
      </c>
      <c r="E1156">
        <v>555.1199951171875</v>
      </c>
      <c r="F1156">
        <v>555.1199951171875</v>
      </c>
      <c r="G1156">
        <v>5355300</v>
      </c>
      <c r="I1156" s="5">
        <f t="shared" ref="I1156:I1219" si="42">LN(F1156/F1155)</f>
        <v>-3.995695135915521E-2</v>
      </c>
      <c r="K1156" s="5">
        <f t="shared" ref="K1156:K1219" si="43">_xlfn.RANK.AVG(L1156,_xlfn.ANCHORARRAY($L$3),1)</f>
        <v>1154</v>
      </c>
      <c r="L1156" s="5">
        <v>3.1256557425335715E-2</v>
      </c>
    </row>
    <row r="1157" spans="1:12" x14ac:dyDescent="0.25">
      <c r="A1157" s="1">
        <v>45407</v>
      </c>
      <c r="B1157">
        <v>549.46002197265625</v>
      </c>
      <c r="C1157">
        <v>566.53997802734375</v>
      </c>
      <c r="D1157">
        <v>545.71002197265625</v>
      </c>
      <c r="E1157">
        <v>564.79998779296875</v>
      </c>
      <c r="F1157">
        <v>564.79998779296875</v>
      </c>
      <c r="G1157">
        <v>3807100</v>
      </c>
      <c r="I1157" s="5">
        <f t="shared" si="42"/>
        <v>1.7287366770681663E-2</v>
      </c>
      <c r="K1157" s="5">
        <f t="shared" si="43"/>
        <v>1155</v>
      </c>
      <c r="L1157" s="5">
        <v>3.1322211690137165E-2</v>
      </c>
    </row>
    <row r="1158" spans="1:12" x14ac:dyDescent="0.25">
      <c r="A1158" s="1">
        <v>45408</v>
      </c>
      <c r="B1158">
        <v>558.21002197265625</v>
      </c>
      <c r="C1158">
        <v>562.91998291015625</v>
      </c>
      <c r="D1158">
        <v>553.19000244140625</v>
      </c>
      <c r="E1158">
        <v>561.22998046875</v>
      </c>
      <c r="F1158">
        <v>561.22998046875</v>
      </c>
      <c r="G1158">
        <v>4332600</v>
      </c>
      <c r="I1158" s="5">
        <f t="shared" si="42"/>
        <v>-6.3408956891555356E-3</v>
      </c>
      <c r="K1158" s="5">
        <f t="shared" si="43"/>
        <v>1156</v>
      </c>
      <c r="L1158" s="5">
        <v>3.1419965054302092E-2</v>
      </c>
    </row>
    <row r="1159" spans="1:12" x14ac:dyDescent="0.25">
      <c r="A1159" s="1">
        <v>45411</v>
      </c>
      <c r="B1159">
        <v>559.17999267578125</v>
      </c>
      <c r="C1159">
        <v>559.6400146484375</v>
      </c>
      <c r="D1159">
        <v>554.239990234375</v>
      </c>
      <c r="E1159">
        <v>559.489990234375</v>
      </c>
      <c r="F1159">
        <v>559.489990234375</v>
      </c>
      <c r="G1159">
        <v>2508900</v>
      </c>
      <c r="I1159" s="5">
        <f t="shared" si="42"/>
        <v>-3.1051318401021212E-3</v>
      </c>
      <c r="K1159" s="5">
        <f t="shared" si="43"/>
        <v>1157</v>
      </c>
      <c r="L1159" s="5">
        <v>3.176225546580997E-2</v>
      </c>
    </row>
    <row r="1160" spans="1:12" x14ac:dyDescent="0.25">
      <c r="A1160" s="1">
        <v>45412</v>
      </c>
      <c r="B1160">
        <v>560</v>
      </c>
      <c r="C1160">
        <v>560</v>
      </c>
      <c r="D1160">
        <v>549.3800048828125</v>
      </c>
      <c r="E1160">
        <v>550.6400146484375</v>
      </c>
      <c r="F1160">
        <v>550.6400146484375</v>
      </c>
      <c r="G1160">
        <v>3361500</v>
      </c>
      <c r="I1160" s="5">
        <f t="shared" si="42"/>
        <v>-1.5944372344083437E-2</v>
      </c>
      <c r="K1160" s="5">
        <f t="shared" si="43"/>
        <v>1158</v>
      </c>
      <c r="L1160" s="5">
        <v>3.2052629835944306E-2</v>
      </c>
    </row>
    <row r="1161" spans="1:12" x14ac:dyDescent="0.25">
      <c r="A1161" s="1">
        <v>45413</v>
      </c>
      <c r="B1161">
        <v>547.84002685546875</v>
      </c>
      <c r="C1161">
        <v>560.3900146484375</v>
      </c>
      <c r="D1161">
        <v>544.25</v>
      </c>
      <c r="E1161">
        <v>551.71002197265625</v>
      </c>
      <c r="F1161">
        <v>551.71002197265625</v>
      </c>
      <c r="G1161">
        <v>3473200</v>
      </c>
      <c r="I1161" s="5">
        <f t="shared" si="42"/>
        <v>1.9413210409021165E-3</v>
      </c>
      <c r="K1161" s="5">
        <f t="shared" si="43"/>
        <v>1159</v>
      </c>
      <c r="L1161" s="5">
        <v>3.2422312919286052E-2</v>
      </c>
    </row>
    <row r="1162" spans="1:12" x14ac:dyDescent="0.25">
      <c r="A1162" s="1">
        <v>45414</v>
      </c>
      <c r="B1162">
        <v>556.02001953125</v>
      </c>
      <c r="C1162">
        <v>565.46002197265625</v>
      </c>
      <c r="D1162">
        <v>555.59002685546875</v>
      </c>
      <c r="E1162">
        <v>565.1500244140625</v>
      </c>
      <c r="F1162">
        <v>565.1500244140625</v>
      </c>
      <c r="G1162">
        <v>3068200</v>
      </c>
      <c r="I1162" s="5">
        <f t="shared" si="42"/>
        <v>2.4068640102422975E-2</v>
      </c>
      <c r="K1162" s="5">
        <f t="shared" si="43"/>
        <v>1160</v>
      </c>
      <c r="L1162" s="5">
        <v>3.3266807371432922E-2</v>
      </c>
    </row>
    <row r="1163" spans="1:12" x14ac:dyDescent="0.25">
      <c r="A1163" s="1">
        <v>45415</v>
      </c>
      <c r="B1163">
        <v>566</v>
      </c>
      <c r="C1163">
        <v>580.260009765625</v>
      </c>
      <c r="D1163">
        <v>565.15997314453125</v>
      </c>
      <c r="E1163">
        <v>579.34002685546875</v>
      </c>
      <c r="F1163">
        <v>579.34002685546875</v>
      </c>
      <c r="G1163">
        <v>3307500</v>
      </c>
      <c r="I1163" s="5">
        <f t="shared" si="42"/>
        <v>2.479834509015897E-2</v>
      </c>
      <c r="K1163" s="5">
        <f t="shared" si="43"/>
        <v>1161</v>
      </c>
      <c r="L1163" s="5">
        <v>3.333922732134853E-2</v>
      </c>
    </row>
    <row r="1164" spans="1:12" x14ac:dyDescent="0.25">
      <c r="A1164" s="1">
        <v>45418</v>
      </c>
      <c r="B1164">
        <v>581.82000732421875</v>
      </c>
      <c r="C1164">
        <v>597.34002685546875</v>
      </c>
      <c r="D1164">
        <v>580.25</v>
      </c>
      <c r="E1164">
        <v>596.969970703125</v>
      </c>
      <c r="F1164">
        <v>596.969970703125</v>
      </c>
      <c r="G1164">
        <v>3686300</v>
      </c>
      <c r="I1164" s="5">
        <f t="shared" si="42"/>
        <v>2.9977240871564743E-2</v>
      </c>
      <c r="K1164" s="5">
        <f t="shared" si="43"/>
        <v>1162</v>
      </c>
      <c r="L1164" s="5">
        <v>3.3478473380458701E-2</v>
      </c>
    </row>
    <row r="1165" spans="1:12" x14ac:dyDescent="0.25">
      <c r="A1165" s="1">
        <v>45419</v>
      </c>
      <c r="B1165">
        <v>596.280029296875</v>
      </c>
      <c r="C1165">
        <v>606.04998779296875</v>
      </c>
      <c r="D1165">
        <v>591.32000732421875</v>
      </c>
      <c r="E1165">
        <v>606</v>
      </c>
      <c r="F1165">
        <v>606</v>
      </c>
      <c r="G1165">
        <v>3614100</v>
      </c>
      <c r="I1165" s="5">
        <f t="shared" si="42"/>
        <v>1.5013174271590286E-2</v>
      </c>
      <c r="K1165" s="5">
        <f t="shared" si="43"/>
        <v>1163</v>
      </c>
      <c r="L1165" s="5">
        <v>3.3776234347121292E-2</v>
      </c>
    </row>
    <row r="1166" spans="1:12" x14ac:dyDescent="0.25">
      <c r="A1166" s="1">
        <v>45420</v>
      </c>
      <c r="B1166">
        <v>601.6300048828125</v>
      </c>
      <c r="C1166">
        <v>618.219970703125</v>
      </c>
      <c r="D1166">
        <v>601.6300048828125</v>
      </c>
      <c r="E1166">
        <v>609.469970703125</v>
      </c>
      <c r="F1166">
        <v>609.469970703125</v>
      </c>
      <c r="G1166">
        <v>3093900</v>
      </c>
      <c r="I1166" s="5">
        <f t="shared" si="42"/>
        <v>5.7096928985218452E-3</v>
      </c>
      <c r="K1166" s="5">
        <f t="shared" si="43"/>
        <v>1164</v>
      </c>
      <c r="L1166" s="5">
        <v>3.3796831778748745E-2</v>
      </c>
    </row>
    <row r="1167" spans="1:12" x14ac:dyDescent="0.25">
      <c r="A1167" s="1">
        <v>45421</v>
      </c>
      <c r="B1167">
        <v>614.4000244140625</v>
      </c>
      <c r="C1167">
        <v>615.719970703125</v>
      </c>
      <c r="D1167">
        <v>605.75</v>
      </c>
      <c r="E1167">
        <v>612.09002685546875</v>
      </c>
      <c r="F1167">
        <v>612.09002685546875</v>
      </c>
      <c r="G1167">
        <v>2065400</v>
      </c>
      <c r="I1167" s="5">
        <f t="shared" si="42"/>
        <v>4.2896954309621788E-3</v>
      </c>
      <c r="K1167" s="5">
        <f t="shared" si="43"/>
        <v>1165</v>
      </c>
      <c r="L1167" s="5">
        <v>3.4120042273144219E-2</v>
      </c>
    </row>
    <row r="1168" spans="1:12" x14ac:dyDescent="0.25">
      <c r="A1168" s="1">
        <v>45422</v>
      </c>
      <c r="B1168">
        <v>619</v>
      </c>
      <c r="C1168">
        <v>623.97998046875</v>
      </c>
      <c r="D1168">
        <v>605.05999755859375</v>
      </c>
      <c r="E1168">
        <v>610.8699951171875</v>
      </c>
      <c r="F1168">
        <v>610.8699951171875</v>
      </c>
      <c r="G1168">
        <v>2653600</v>
      </c>
      <c r="I1168" s="5">
        <f t="shared" si="42"/>
        <v>-1.9952118157479087E-3</v>
      </c>
      <c r="K1168" s="5">
        <f t="shared" si="43"/>
        <v>1166</v>
      </c>
      <c r="L1168" s="5">
        <v>3.4212049007695082E-2</v>
      </c>
    </row>
    <row r="1169" spans="1:12" x14ac:dyDescent="0.25">
      <c r="A1169" s="1">
        <v>45425</v>
      </c>
      <c r="B1169">
        <v>614.29998779296875</v>
      </c>
      <c r="C1169">
        <v>618.219970703125</v>
      </c>
      <c r="D1169">
        <v>606.83001708984375</v>
      </c>
      <c r="E1169">
        <v>616.59002685546875</v>
      </c>
      <c r="F1169">
        <v>616.59002685546875</v>
      </c>
      <c r="G1169">
        <v>2086200</v>
      </c>
      <c r="I1169" s="5">
        <f t="shared" si="42"/>
        <v>9.3201783227993776E-3</v>
      </c>
      <c r="K1169" s="5">
        <f t="shared" si="43"/>
        <v>1167</v>
      </c>
      <c r="L1169" s="5">
        <v>3.4368635440352985E-2</v>
      </c>
    </row>
    <row r="1170" spans="1:12" x14ac:dyDescent="0.25">
      <c r="A1170" s="1">
        <v>45426</v>
      </c>
      <c r="B1170">
        <v>615.16998291015625</v>
      </c>
      <c r="C1170">
        <v>621.47998046875</v>
      </c>
      <c r="D1170">
        <v>608.4000244140625</v>
      </c>
      <c r="E1170">
        <v>613.65997314453125</v>
      </c>
      <c r="F1170">
        <v>613.65997314453125</v>
      </c>
      <c r="G1170">
        <v>2792400</v>
      </c>
      <c r="I1170" s="5">
        <f t="shared" si="42"/>
        <v>-4.7633558237282761E-3</v>
      </c>
      <c r="K1170" s="5">
        <f t="shared" si="43"/>
        <v>1168</v>
      </c>
      <c r="L1170" s="5">
        <v>3.4458006359096641E-2</v>
      </c>
    </row>
    <row r="1171" spans="1:12" x14ac:dyDescent="0.25">
      <c r="A1171" s="1">
        <v>45427</v>
      </c>
      <c r="B1171">
        <v>618.57000732421875</v>
      </c>
      <c r="C1171">
        <v>624.0999755859375</v>
      </c>
      <c r="D1171">
        <v>609.0999755859375</v>
      </c>
      <c r="E1171">
        <v>613.52001953125</v>
      </c>
      <c r="F1171">
        <v>613.52001953125</v>
      </c>
      <c r="G1171">
        <v>5670600</v>
      </c>
      <c r="I1171" s="5">
        <f t="shared" si="42"/>
        <v>-2.2808979077766764E-4</v>
      </c>
      <c r="K1171" s="5">
        <f t="shared" si="43"/>
        <v>1169</v>
      </c>
      <c r="L1171" s="5">
        <v>3.4560050944764699E-2</v>
      </c>
    </row>
    <row r="1172" spans="1:12" x14ac:dyDescent="0.25">
      <c r="A1172" s="1">
        <v>45428</v>
      </c>
      <c r="B1172">
        <v>615.75</v>
      </c>
      <c r="C1172">
        <v>618.34002685546875</v>
      </c>
      <c r="D1172">
        <v>609.09002685546875</v>
      </c>
      <c r="E1172">
        <v>610.52001953125</v>
      </c>
      <c r="F1172">
        <v>610.52001953125</v>
      </c>
      <c r="G1172">
        <v>3056400</v>
      </c>
      <c r="I1172" s="5">
        <f t="shared" si="42"/>
        <v>-4.9018102532516362E-3</v>
      </c>
      <c r="K1172" s="5">
        <f t="shared" si="43"/>
        <v>1170</v>
      </c>
      <c r="L1172" s="5">
        <v>3.4864935831445801E-2</v>
      </c>
    </row>
    <row r="1173" spans="1:12" x14ac:dyDescent="0.25">
      <c r="A1173" s="1">
        <v>45429</v>
      </c>
      <c r="B1173">
        <v>617</v>
      </c>
      <c r="C1173">
        <v>625.78997802734375</v>
      </c>
      <c r="D1173">
        <v>614.71002197265625</v>
      </c>
      <c r="E1173">
        <v>621.0999755859375</v>
      </c>
      <c r="F1173">
        <v>621.0999755859375</v>
      </c>
      <c r="G1173">
        <v>3782700</v>
      </c>
      <c r="I1173" s="5">
        <f t="shared" si="42"/>
        <v>1.7180975219383852E-2</v>
      </c>
      <c r="K1173" s="5">
        <f t="shared" si="43"/>
        <v>1171</v>
      </c>
      <c r="L1173" s="5">
        <v>3.4883029494823976E-2</v>
      </c>
    </row>
    <row r="1174" spans="1:12" x14ac:dyDescent="0.25">
      <c r="A1174" s="1">
        <v>45432</v>
      </c>
      <c r="B1174">
        <v>620.4000244140625</v>
      </c>
      <c r="C1174">
        <v>644.3699951171875</v>
      </c>
      <c r="D1174">
        <v>619.52001953125</v>
      </c>
      <c r="E1174">
        <v>640.82000732421875</v>
      </c>
      <c r="F1174">
        <v>640.82000732421875</v>
      </c>
      <c r="G1174">
        <v>3857900</v>
      </c>
      <c r="I1174" s="5">
        <f t="shared" si="42"/>
        <v>3.1256557425335715E-2</v>
      </c>
      <c r="K1174" s="5">
        <f t="shared" si="43"/>
        <v>1172</v>
      </c>
      <c r="L1174" s="5">
        <v>3.4979565796797063E-2</v>
      </c>
    </row>
    <row r="1175" spans="1:12" x14ac:dyDescent="0.25">
      <c r="A1175" s="1">
        <v>45433</v>
      </c>
      <c r="B1175">
        <v>636.760009765625</v>
      </c>
      <c r="C1175">
        <v>650.8800048828125</v>
      </c>
      <c r="D1175">
        <v>634.219970703125</v>
      </c>
      <c r="E1175">
        <v>650.6099853515625</v>
      </c>
      <c r="F1175">
        <v>650.6099853515625</v>
      </c>
      <c r="G1175">
        <v>2920200</v>
      </c>
      <c r="I1175" s="5">
        <f t="shared" si="42"/>
        <v>1.5161744150684943E-2</v>
      </c>
      <c r="K1175" s="5">
        <f t="shared" si="43"/>
        <v>1173</v>
      </c>
      <c r="L1175" s="5">
        <v>3.5766815579748187E-2</v>
      </c>
    </row>
    <row r="1176" spans="1:12" x14ac:dyDescent="0.25">
      <c r="A1176" s="1">
        <v>45434</v>
      </c>
      <c r="B1176">
        <v>647.1400146484375</v>
      </c>
      <c r="C1176">
        <v>649.25</v>
      </c>
      <c r="D1176">
        <v>638.1199951171875</v>
      </c>
      <c r="E1176">
        <v>640.469970703125</v>
      </c>
      <c r="F1176">
        <v>640.469970703125</v>
      </c>
      <c r="G1176">
        <v>2176200</v>
      </c>
      <c r="I1176" s="5">
        <f t="shared" si="42"/>
        <v>-1.5708125743930199E-2</v>
      </c>
      <c r="K1176" s="5">
        <f t="shared" si="43"/>
        <v>1174</v>
      </c>
      <c r="L1176" s="5">
        <v>3.5871150849141394E-2</v>
      </c>
    </row>
    <row r="1177" spans="1:12" x14ac:dyDescent="0.25">
      <c r="A1177" s="1">
        <v>45435</v>
      </c>
      <c r="B1177">
        <v>642.34002685546875</v>
      </c>
      <c r="C1177">
        <v>642.71002197265625</v>
      </c>
      <c r="D1177">
        <v>630</v>
      </c>
      <c r="E1177">
        <v>635.66998291015625</v>
      </c>
      <c r="F1177">
        <v>635.66998291015625</v>
      </c>
      <c r="G1177">
        <v>2313900</v>
      </c>
      <c r="I1177" s="5">
        <f t="shared" si="42"/>
        <v>-7.5227022172897201E-3</v>
      </c>
      <c r="K1177" s="5">
        <f t="shared" si="43"/>
        <v>1175</v>
      </c>
      <c r="L1177" s="5">
        <v>3.6017405170093143E-2</v>
      </c>
    </row>
    <row r="1178" spans="1:12" x14ac:dyDescent="0.25">
      <c r="A1178" s="1">
        <v>45436</v>
      </c>
      <c r="B1178">
        <v>639.4000244140625</v>
      </c>
      <c r="C1178">
        <v>652</v>
      </c>
      <c r="D1178">
        <v>637.5999755859375</v>
      </c>
      <c r="E1178">
        <v>646.75</v>
      </c>
      <c r="F1178">
        <v>646.75</v>
      </c>
      <c r="G1178">
        <v>2613300</v>
      </c>
      <c r="I1178" s="5">
        <f t="shared" si="42"/>
        <v>1.7280287193861713E-2</v>
      </c>
      <c r="K1178" s="5">
        <f t="shared" si="43"/>
        <v>1176</v>
      </c>
      <c r="L1178" s="5">
        <v>3.6049035561646126E-2</v>
      </c>
    </row>
    <row r="1179" spans="1:12" x14ac:dyDescent="0.25">
      <c r="A1179" s="1">
        <v>45440</v>
      </c>
      <c r="B1179">
        <v>647.04998779296875</v>
      </c>
      <c r="C1179">
        <v>649.75</v>
      </c>
      <c r="D1179">
        <v>643.030029296875</v>
      </c>
      <c r="E1179">
        <v>649</v>
      </c>
      <c r="F1179">
        <v>649</v>
      </c>
      <c r="G1179">
        <v>2609500</v>
      </c>
      <c r="I1179" s="5">
        <f t="shared" si="42"/>
        <v>3.4728956379514375E-3</v>
      </c>
      <c r="K1179" s="5">
        <f t="shared" si="43"/>
        <v>1177</v>
      </c>
      <c r="L1179" s="5">
        <v>3.6290521924913832E-2</v>
      </c>
    </row>
    <row r="1180" spans="1:12" x14ac:dyDescent="0.25">
      <c r="A1180" s="1">
        <v>45441</v>
      </c>
      <c r="B1180">
        <v>644.1300048828125</v>
      </c>
      <c r="C1180">
        <v>664.25</v>
      </c>
      <c r="D1180">
        <v>643.8900146484375</v>
      </c>
      <c r="E1180">
        <v>654.6199951171875</v>
      </c>
      <c r="F1180">
        <v>654.6199951171875</v>
      </c>
      <c r="G1180">
        <v>3695900</v>
      </c>
      <c r="I1180" s="5">
        <f t="shared" si="42"/>
        <v>8.6221904467249817E-3</v>
      </c>
      <c r="K1180" s="5">
        <f t="shared" si="43"/>
        <v>1178</v>
      </c>
      <c r="L1180" s="5">
        <v>3.6334996789965018E-2</v>
      </c>
    </row>
    <row r="1181" spans="1:12" x14ac:dyDescent="0.25">
      <c r="A1181" s="1">
        <v>45442</v>
      </c>
      <c r="B1181">
        <v>653.52001953125</v>
      </c>
      <c r="C1181">
        <v>656.489990234375</v>
      </c>
      <c r="D1181">
        <v>644.72998046875</v>
      </c>
      <c r="E1181">
        <v>647.65997314453125</v>
      </c>
      <c r="F1181">
        <v>647.65997314453125</v>
      </c>
      <c r="G1181">
        <v>2393400</v>
      </c>
      <c r="I1181" s="5">
        <f t="shared" si="42"/>
        <v>-1.068908132062577E-2</v>
      </c>
      <c r="K1181" s="5">
        <f t="shared" si="43"/>
        <v>1179</v>
      </c>
      <c r="L1181" s="5">
        <v>3.6377099048168923E-2</v>
      </c>
    </row>
    <row r="1182" spans="1:12" x14ac:dyDescent="0.25">
      <c r="A1182" s="1">
        <v>45443</v>
      </c>
      <c r="B1182">
        <v>644.010009765625</v>
      </c>
      <c r="C1182">
        <v>648.58001708984375</v>
      </c>
      <c r="D1182">
        <v>628.29998779296875</v>
      </c>
      <c r="E1182">
        <v>641.6199951171875</v>
      </c>
      <c r="F1182">
        <v>641.6199951171875</v>
      </c>
      <c r="G1182">
        <v>4071000</v>
      </c>
      <c r="I1182" s="5">
        <f t="shared" si="42"/>
        <v>-9.369605304029192E-3</v>
      </c>
      <c r="K1182" s="5">
        <f t="shared" si="43"/>
        <v>1180</v>
      </c>
      <c r="L1182" s="5">
        <v>3.653920280242863E-2</v>
      </c>
    </row>
    <row r="1183" spans="1:12" x14ac:dyDescent="0.25">
      <c r="A1183" s="1">
        <v>45446</v>
      </c>
      <c r="B1183">
        <v>645.219970703125</v>
      </c>
      <c r="C1183">
        <v>646.780029296875</v>
      </c>
      <c r="D1183">
        <v>627.27001953125</v>
      </c>
      <c r="E1183">
        <v>633.78997802734375</v>
      </c>
      <c r="F1183">
        <v>633.78997802734375</v>
      </c>
      <c r="G1183">
        <v>2323500</v>
      </c>
      <c r="I1183" s="5">
        <f t="shared" si="42"/>
        <v>-1.2278585910383029E-2</v>
      </c>
      <c r="K1183" s="5">
        <f t="shared" si="43"/>
        <v>1181</v>
      </c>
      <c r="L1183" s="5">
        <v>3.6696101776551568E-2</v>
      </c>
    </row>
    <row r="1184" spans="1:12" x14ac:dyDescent="0.25">
      <c r="A1184" s="1">
        <v>45447</v>
      </c>
      <c r="B1184">
        <v>633.780029296875</v>
      </c>
      <c r="C1184">
        <v>635.22998046875</v>
      </c>
      <c r="D1184">
        <v>626.44000244140625</v>
      </c>
      <c r="E1184">
        <v>631.6199951171875</v>
      </c>
      <c r="F1184">
        <v>631.6199951171875</v>
      </c>
      <c r="G1184">
        <v>3008200</v>
      </c>
      <c r="I1184" s="5">
        <f t="shared" si="42"/>
        <v>-3.4296948551057319E-3</v>
      </c>
      <c r="K1184" s="5">
        <f t="shared" si="43"/>
        <v>1182</v>
      </c>
      <c r="L1184" s="5">
        <v>3.6727744436713124E-2</v>
      </c>
    </row>
    <row r="1185" spans="1:12" x14ac:dyDescent="0.25">
      <c r="A1185" s="1">
        <v>45448</v>
      </c>
      <c r="B1185">
        <v>634.02001953125</v>
      </c>
      <c r="C1185">
        <v>651.25</v>
      </c>
      <c r="D1185">
        <v>628.25</v>
      </c>
      <c r="E1185">
        <v>650.27001953125</v>
      </c>
      <c r="F1185">
        <v>650.27001953125</v>
      </c>
      <c r="G1185">
        <v>2682600</v>
      </c>
      <c r="I1185" s="5">
        <f t="shared" si="42"/>
        <v>2.9099751531690487E-2</v>
      </c>
      <c r="K1185" s="5">
        <f t="shared" si="43"/>
        <v>1183</v>
      </c>
      <c r="L1185" s="5">
        <v>3.7357209130838231E-2</v>
      </c>
    </row>
    <row r="1186" spans="1:12" x14ac:dyDescent="0.25">
      <c r="A1186" s="1">
        <v>45449</v>
      </c>
      <c r="B1186">
        <v>644.8900146484375</v>
      </c>
      <c r="C1186">
        <v>657.989990234375</v>
      </c>
      <c r="D1186">
        <v>644.239990234375</v>
      </c>
      <c r="E1186">
        <v>648.52001953125</v>
      </c>
      <c r="F1186">
        <v>648.52001953125</v>
      </c>
      <c r="G1186">
        <v>2466700</v>
      </c>
      <c r="I1186" s="5">
        <f t="shared" si="42"/>
        <v>-2.6948174938433685E-3</v>
      </c>
      <c r="K1186" s="5">
        <f t="shared" si="43"/>
        <v>1184</v>
      </c>
      <c r="L1186" s="5">
        <v>3.744437670557571E-2</v>
      </c>
    </row>
    <row r="1187" spans="1:12" x14ac:dyDescent="0.25">
      <c r="A1187" s="1">
        <v>45450</v>
      </c>
      <c r="B1187">
        <v>649.3800048828125</v>
      </c>
      <c r="C1187">
        <v>650.4000244140625</v>
      </c>
      <c r="D1187">
        <v>640.239990234375</v>
      </c>
      <c r="E1187">
        <v>641.469970703125</v>
      </c>
      <c r="F1187">
        <v>641.469970703125</v>
      </c>
      <c r="G1187">
        <v>1876600</v>
      </c>
      <c r="I1187" s="5">
        <f t="shared" si="42"/>
        <v>-1.0930501901437423E-2</v>
      </c>
      <c r="K1187" s="5">
        <f t="shared" si="43"/>
        <v>1185</v>
      </c>
      <c r="L1187" s="5">
        <v>3.7766033077206183E-2</v>
      </c>
    </row>
    <row r="1188" spans="1:12" x14ac:dyDescent="0.25">
      <c r="A1188" s="1">
        <v>45453</v>
      </c>
      <c r="B1188">
        <v>641.010009765625</v>
      </c>
      <c r="C1188">
        <v>644.78997802734375</v>
      </c>
      <c r="D1188">
        <v>635.59002685546875</v>
      </c>
      <c r="E1188">
        <v>644.5</v>
      </c>
      <c r="F1188">
        <v>644.5</v>
      </c>
      <c r="G1188">
        <v>2066800</v>
      </c>
      <c r="I1188" s="5">
        <f t="shared" si="42"/>
        <v>4.7124504821613768E-3</v>
      </c>
      <c r="K1188" s="5">
        <f t="shared" si="43"/>
        <v>1186</v>
      </c>
      <c r="L1188" s="5">
        <v>3.8022370968445844E-2</v>
      </c>
    </row>
    <row r="1189" spans="1:12" x14ac:dyDescent="0.25">
      <c r="A1189" s="1">
        <v>45454</v>
      </c>
      <c r="B1189">
        <v>640.719970703125</v>
      </c>
      <c r="C1189">
        <v>650.19000244140625</v>
      </c>
      <c r="D1189">
        <v>640.52001953125</v>
      </c>
      <c r="E1189">
        <v>648.54998779296875</v>
      </c>
      <c r="F1189">
        <v>648.54998779296875</v>
      </c>
      <c r="G1189">
        <v>2167400</v>
      </c>
      <c r="I1189" s="5">
        <f t="shared" si="42"/>
        <v>6.2642605854040592E-3</v>
      </c>
      <c r="K1189" s="5">
        <f t="shared" si="43"/>
        <v>1187</v>
      </c>
      <c r="L1189" s="5">
        <v>3.8060361201845895E-2</v>
      </c>
    </row>
    <row r="1190" spans="1:12" x14ac:dyDescent="0.25">
      <c r="A1190" s="1">
        <v>45455</v>
      </c>
      <c r="B1190">
        <v>652.21002197265625</v>
      </c>
      <c r="C1190">
        <v>655.780029296875</v>
      </c>
      <c r="D1190">
        <v>643.1099853515625</v>
      </c>
      <c r="E1190">
        <v>650.05999755859375</v>
      </c>
      <c r="F1190">
        <v>650.05999755859375</v>
      </c>
      <c r="G1190">
        <v>2094400</v>
      </c>
      <c r="I1190" s="5">
        <f t="shared" si="42"/>
        <v>2.3255796015885107E-3</v>
      </c>
      <c r="K1190" s="5">
        <f t="shared" si="43"/>
        <v>1188</v>
      </c>
      <c r="L1190" s="5">
        <v>3.8497992716096718E-2</v>
      </c>
    </row>
    <row r="1191" spans="1:12" x14ac:dyDescent="0.25">
      <c r="A1191" s="1">
        <v>45456</v>
      </c>
      <c r="B1191">
        <v>644</v>
      </c>
      <c r="C1191">
        <v>655.25</v>
      </c>
      <c r="D1191">
        <v>642.3499755859375</v>
      </c>
      <c r="E1191">
        <v>653.260009765625</v>
      </c>
      <c r="F1191">
        <v>653.260009765625</v>
      </c>
      <c r="G1191">
        <v>1863600</v>
      </c>
      <c r="I1191" s="5">
        <f t="shared" si="42"/>
        <v>4.9105647413924284E-3</v>
      </c>
      <c r="K1191" s="5">
        <f t="shared" si="43"/>
        <v>1189</v>
      </c>
      <c r="L1191" s="5">
        <v>3.9131590811645973E-2</v>
      </c>
    </row>
    <row r="1192" spans="1:12" x14ac:dyDescent="0.25">
      <c r="A1192" s="1">
        <v>45457</v>
      </c>
      <c r="B1192">
        <v>655.04998779296875</v>
      </c>
      <c r="C1192">
        <v>675.58001708984375</v>
      </c>
      <c r="D1192">
        <v>652.6400146484375</v>
      </c>
      <c r="E1192">
        <v>669.3800048828125</v>
      </c>
      <c r="F1192">
        <v>669.3800048828125</v>
      </c>
      <c r="G1192">
        <v>4447100</v>
      </c>
      <c r="I1192" s="5">
        <f t="shared" si="42"/>
        <v>2.4376690815546744E-2</v>
      </c>
      <c r="K1192" s="5">
        <f t="shared" si="43"/>
        <v>1190</v>
      </c>
      <c r="L1192" s="5">
        <v>3.9304622302171979E-2</v>
      </c>
    </row>
    <row r="1193" spans="1:12" x14ac:dyDescent="0.25">
      <c r="A1193" s="1">
        <v>45460</v>
      </c>
      <c r="B1193">
        <v>669.1099853515625</v>
      </c>
      <c r="C1193">
        <v>682.71002197265625</v>
      </c>
      <c r="D1193">
        <v>665.1099853515625</v>
      </c>
      <c r="E1193">
        <v>675.83001708984375</v>
      </c>
      <c r="F1193">
        <v>675.83001708984375</v>
      </c>
      <c r="G1193">
        <v>3631200</v>
      </c>
      <c r="I1193" s="5">
        <f t="shared" si="42"/>
        <v>9.5896722908232618E-3</v>
      </c>
      <c r="K1193" s="5">
        <f t="shared" si="43"/>
        <v>1191</v>
      </c>
      <c r="L1193" s="5">
        <v>3.9922436582069794E-2</v>
      </c>
    </row>
    <row r="1194" spans="1:12" x14ac:dyDescent="0.25">
      <c r="A1194" s="1">
        <v>45461</v>
      </c>
      <c r="B1194">
        <v>675.6300048828125</v>
      </c>
      <c r="C1194">
        <v>687.05999755859375</v>
      </c>
      <c r="D1194">
        <v>674.6400146484375</v>
      </c>
      <c r="E1194">
        <v>685.66998291015625</v>
      </c>
      <c r="F1194">
        <v>685.66998291015625</v>
      </c>
      <c r="G1194">
        <v>2943800</v>
      </c>
      <c r="I1194" s="5">
        <f t="shared" si="42"/>
        <v>1.4454847083446448E-2</v>
      </c>
      <c r="K1194" s="5">
        <f t="shared" si="43"/>
        <v>1192</v>
      </c>
      <c r="L1194" s="5">
        <v>4.059180144159058E-2</v>
      </c>
    </row>
    <row r="1195" spans="1:12" x14ac:dyDescent="0.25">
      <c r="A1195" s="1">
        <v>45463</v>
      </c>
      <c r="B1195">
        <v>681.79998779296875</v>
      </c>
      <c r="C1195">
        <v>689.8800048828125</v>
      </c>
      <c r="D1195">
        <v>673.719970703125</v>
      </c>
      <c r="E1195">
        <v>679.030029296875</v>
      </c>
      <c r="F1195">
        <v>679.030029296875</v>
      </c>
      <c r="G1195">
        <v>2585100</v>
      </c>
      <c r="I1195" s="5">
        <f t="shared" si="42"/>
        <v>-9.7310851480844323E-3</v>
      </c>
      <c r="K1195" s="5">
        <f t="shared" si="43"/>
        <v>1193</v>
      </c>
      <c r="L1195" s="5">
        <v>4.0693370408730903E-2</v>
      </c>
    </row>
    <row r="1196" spans="1:12" x14ac:dyDescent="0.25">
      <c r="A1196" s="1">
        <v>45464</v>
      </c>
      <c r="B1196">
        <v>683.260009765625</v>
      </c>
      <c r="C1196">
        <v>686.9000244140625</v>
      </c>
      <c r="D1196">
        <v>678.0999755859375</v>
      </c>
      <c r="E1196">
        <v>686.1199951171875</v>
      </c>
      <c r="F1196">
        <v>686.1199951171875</v>
      </c>
      <c r="G1196">
        <v>4557100</v>
      </c>
      <c r="I1196" s="5">
        <f t="shared" si="42"/>
        <v>1.0387180075707398E-2</v>
      </c>
      <c r="K1196" s="5">
        <f t="shared" si="43"/>
        <v>1194</v>
      </c>
      <c r="L1196" s="5">
        <v>4.0894159993842064E-2</v>
      </c>
    </row>
    <row r="1197" spans="1:12" x14ac:dyDescent="0.25">
      <c r="A1197" s="1">
        <v>45467</v>
      </c>
      <c r="B1197">
        <v>685</v>
      </c>
      <c r="C1197">
        <v>685.5</v>
      </c>
      <c r="D1197">
        <v>664.5</v>
      </c>
      <c r="E1197">
        <v>669.02001953125</v>
      </c>
      <c r="F1197">
        <v>669.02001953125</v>
      </c>
      <c r="G1197">
        <v>3916300</v>
      </c>
      <c r="I1197" s="5">
        <f t="shared" si="42"/>
        <v>-2.5238548183657165E-2</v>
      </c>
      <c r="K1197" s="5">
        <f t="shared" si="43"/>
        <v>1195</v>
      </c>
      <c r="L1197" s="5">
        <v>4.0997551526528717E-2</v>
      </c>
    </row>
    <row r="1198" spans="1:12" x14ac:dyDescent="0.25">
      <c r="A1198" s="1">
        <v>45468</v>
      </c>
      <c r="B1198">
        <v>673.44000244140625</v>
      </c>
      <c r="C1198">
        <v>673.66998291015625</v>
      </c>
      <c r="D1198">
        <v>662.29998779296875</v>
      </c>
      <c r="E1198">
        <v>672.40997314453125</v>
      </c>
      <c r="F1198">
        <v>672.40997314453125</v>
      </c>
      <c r="G1198">
        <v>2278800</v>
      </c>
      <c r="I1198" s="5">
        <f t="shared" si="42"/>
        <v>5.0542493432745202E-3</v>
      </c>
      <c r="K1198" s="5">
        <f t="shared" si="43"/>
        <v>1196</v>
      </c>
      <c r="L1198" s="5">
        <v>4.1547651362380332E-2</v>
      </c>
    </row>
    <row r="1199" spans="1:12" x14ac:dyDescent="0.25">
      <c r="A1199" s="1">
        <v>45469</v>
      </c>
      <c r="B1199">
        <v>672.40997314453125</v>
      </c>
      <c r="C1199">
        <v>682.96002197265625</v>
      </c>
      <c r="D1199">
        <v>670.02001953125</v>
      </c>
      <c r="E1199">
        <v>677.69000244140625</v>
      </c>
      <c r="F1199">
        <v>677.69000244140625</v>
      </c>
      <c r="G1199">
        <v>3545800</v>
      </c>
      <c r="I1199" s="5">
        <f t="shared" si="42"/>
        <v>7.8217262594085374E-3</v>
      </c>
      <c r="K1199" s="5">
        <f t="shared" si="43"/>
        <v>1197</v>
      </c>
      <c r="L1199" s="5">
        <v>4.2639940734873379E-2</v>
      </c>
    </row>
    <row r="1200" spans="1:12" x14ac:dyDescent="0.25">
      <c r="A1200" s="1">
        <v>45470</v>
      </c>
      <c r="B1200">
        <v>679.3499755859375</v>
      </c>
      <c r="C1200">
        <v>688.57000732421875</v>
      </c>
      <c r="D1200">
        <v>678.1400146484375</v>
      </c>
      <c r="E1200">
        <v>684.34002685546875</v>
      </c>
      <c r="F1200">
        <v>684.34002685546875</v>
      </c>
      <c r="G1200">
        <v>2404800</v>
      </c>
      <c r="I1200" s="5">
        <f t="shared" si="42"/>
        <v>9.7649495433616267E-3</v>
      </c>
      <c r="K1200" s="5">
        <f t="shared" si="43"/>
        <v>1198</v>
      </c>
      <c r="L1200" s="5">
        <v>4.3769383007989736E-2</v>
      </c>
    </row>
    <row r="1201" spans="1:12" x14ac:dyDescent="0.25">
      <c r="A1201" s="1">
        <v>45471</v>
      </c>
      <c r="B1201">
        <v>679</v>
      </c>
      <c r="C1201">
        <v>687</v>
      </c>
      <c r="D1201">
        <v>673.08001708984375</v>
      </c>
      <c r="E1201">
        <v>674.8800048828125</v>
      </c>
      <c r="F1201">
        <v>674.8800048828125</v>
      </c>
      <c r="G1201">
        <v>3412400</v>
      </c>
      <c r="I1201" s="5">
        <f t="shared" si="42"/>
        <v>-1.3920004861961871E-2</v>
      </c>
      <c r="K1201" s="5">
        <f t="shared" si="43"/>
        <v>1199</v>
      </c>
      <c r="L1201" s="5">
        <v>4.3846433033492137E-2</v>
      </c>
    </row>
    <row r="1202" spans="1:12" x14ac:dyDescent="0.25">
      <c r="A1202" s="1">
        <v>45474</v>
      </c>
      <c r="B1202">
        <v>674.8900146484375</v>
      </c>
      <c r="C1202">
        <v>675.02001953125</v>
      </c>
      <c r="D1202">
        <v>663.780029296875</v>
      </c>
      <c r="E1202">
        <v>673.6099853515625</v>
      </c>
      <c r="F1202">
        <v>673.6099853515625</v>
      </c>
      <c r="G1202">
        <v>2212800</v>
      </c>
      <c r="I1202" s="5">
        <f t="shared" si="42"/>
        <v>-1.8836178480396493E-3</v>
      </c>
      <c r="K1202" s="5">
        <f t="shared" si="43"/>
        <v>1200</v>
      </c>
      <c r="L1202" s="5">
        <v>4.477876231608529E-2</v>
      </c>
    </row>
    <row r="1203" spans="1:12" x14ac:dyDescent="0.25">
      <c r="A1203" s="1">
        <v>45475</v>
      </c>
      <c r="B1203">
        <v>673.53997802734375</v>
      </c>
      <c r="C1203">
        <v>681.739990234375</v>
      </c>
      <c r="D1203">
        <v>670.07000732421875</v>
      </c>
      <c r="E1203">
        <v>679.58001708984375</v>
      </c>
      <c r="F1203">
        <v>679.58001708984375</v>
      </c>
      <c r="G1203">
        <v>2411400</v>
      </c>
      <c r="I1203" s="5">
        <f t="shared" si="42"/>
        <v>8.8236987590088415E-3</v>
      </c>
      <c r="K1203" s="5">
        <f t="shared" si="43"/>
        <v>1201</v>
      </c>
      <c r="L1203" s="5">
        <v>4.5633964803706767E-2</v>
      </c>
    </row>
    <row r="1204" spans="1:12" x14ac:dyDescent="0.25">
      <c r="A1204" s="1">
        <v>45476</v>
      </c>
      <c r="B1204">
        <v>677.47998046875</v>
      </c>
      <c r="C1204">
        <v>683.75</v>
      </c>
      <c r="D1204">
        <v>675.5</v>
      </c>
      <c r="E1204">
        <v>682.510009765625</v>
      </c>
      <c r="F1204">
        <v>682.510009765625</v>
      </c>
      <c r="G1204">
        <v>1403500</v>
      </c>
      <c r="I1204" s="5">
        <f t="shared" si="42"/>
        <v>4.3022078383640481E-3</v>
      </c>
      <c r="K1204" s="5">
        <f t="shared" si="43"/>
        <v>1202</v>
      </c>
      <c r="L1204" s="5">
        <v>4.6621114898122491E-2</v>
      </c>
    </row>
    <row r="1205" spans="1:12" x14ac:dyDescent="0.25">
      <c r="A1205" s="1">
        <v>45478</v>
      </c>
      <c r="B1205">
        <v>682.510009765625</v>
      </c>
      <c r="C1205">
        <v>697.489990234375</v>
      </c>
      <c r="D1205">
        <v>677.22998046875</v>
      </c>
      <c r="E1205">
        <v>690.6500244140625</v>
      </c>
      <c r="F1205">
        <v>690.6500244140625</v>
      </c>
      <c r="G1205">
        <v>2659100</v>
      </c>
      <c r="I1205" s="5">
        <f t="shared" si="42"/>
        <v>1.1856025220541867E-2</v>
      </c>
      <c r="K1205" s="5">
        <f t="shared" si="43"/>
        <v>1203</v>
      </c>
      <c r="L1205" s="5">
        <v>4.6696729174728523E-2</v>
      </c>
    </row>
    <row r="1206" spans="1:12" x14ac:dyDescent="0.25">
      <c r="A1206" s="1">
        <v>45481</v>
      </c>
      <c r="B1206">
        <v>687</v>
      </c>
      <c r="C1206">
        <v>688.8599853515625</v>
      </c>
      <c r="D1206">
        <v>681.489990234375</v>
      </c>
      <c r="E1206">
        <v>685.739990234375</v>
      </c>
      <c r="F1206">
        <v>685.739990234375</v>
      </c>
      <c r="G1206">
        <v>1930800</v>
      </c>
      <c r="I1206" s="5">
        <f t="shared" si="42"/>
        <v>-7.1346855988082807E-3</v>
      </c>
      <c r="K1206" s="5">
        <f t="shared" si="43"/>
        <v>1204</v>
      </c>
      <c r="L1206" s="5">
        <v>4.7147832100509553E-2</v>
      </c>
    </row>
    <row r="1207" spans="1:12" x14ac:dyDescent="0.25">
      <c r="A1207" s="1">
        <v>45482</v>
      </c>
      <c r="B1207">
        <v>690</v>
      </c>
      <c r="C1207">
        <v>695.27001953125</v>
      </c>
      <c r="D1207">
        <v>684.719970703125</v>
      </c>
      <c r="E1207">
        <v>685.739990234375</v>
      </c>
      <c r="F1207">
        <v>685.739990234375</v>
      </c>
      <c r="G1207">
        <v>2596100</v>
      </c>
      <c r="I1207" s="5">
        <f t="shared" si="42"/>
        <v>0</v>
      </c>
      <c r="K1207" s="5">
        <f t="shared" si="43"/>
        <v>1205</v>
      </c>
      <c r="L1207" s="5">
        <v>4.7264892649556904E-2</v>
      </c>
    </row>
    <row r="1208" spans="1:12" x14ac:dyDescent="0.25">
      <c r="A1208" s="1">
        <v>45483</v>
      </c>
      <c r="B1208">
        <v>685.02001953125</v>
      </c>
      <c r="C1208">
        <v>687.219970703125</v>
      </c>
      <c r="D1208">
        <v>673.15997314453125</v>
      </c>
      <c r="E1208">
        <v>677.6500244140625</v>
      </c>
      <c r="F1208">
        <v>677.6500244140625</v>
      </c>
      <c r="G1208">
        <v>2651900</v>
      </c>
      <c r="I1208" s="5">
        <f t="shared" si="42"/>
        <v>-1.1867566406994684E-2</v>
      </c>
      <c r="K1208" s="5">
        <f t="shared" si="43"/>
        <v>1206</v>
      </c>
      <c r="L1208" s="5">
        <v>4.7270755325043282E-2</v>
      </c>
    </row>
    <row r="1209" spans="1:12" x14ac:dyDescent="0.25">
      <c r="A1209" s="1">
        <v>45484</v>
      </c>
      <c r="B1209">
        <v>672.489990234375</v>
      </c>
      <c r="C1209">
        <v>672.489990234375</v>
      </c>
      <c r="D1209">
        <v>647.44000244140625</v>
      </c>
      <c r="E1209">
        <v>652.75</v>
      </c>
      <c r="F1209">
        <v>652.75</v>
      </c>
      <c r="G1209">
        <v>5106600</v>
      </c>
      <c r="I1209" s="5">
        <f t="shared" si="42"/>
        <v>-3.7436758910326107E-2</v>
      </c>
      <c r="K1209" s="5">
        <f t="shared" si="43"/>
        <v>1207</v>
      </c>
      <c r="L1209" s="5">
        <v>4.7861378237138673E-2</v>
      </c>
    </row>
    <row r="1210" spans="1:12" x14ac:dyDescent="0.25">
      <c r="A1210" s="1">
        <v>45485</v>
      </c>
      <c r="B1210">
        <v>652.75</v>
      </c>
      <c r="C1210">
        <v>655.91998291015625</v>
      </c>
      <c r="D1210">
        <v>643.71002197265625</v>
      </c>
      <c r="E1210">
        <v>647.5999755859375</v>
      </c>
      <c r="F1210">
        <v>647.5999755859375</v>
      </c>
      <c r="G1210">
        <v>3355200</v>
      </c>
      <c r="I1210" s="5">
        <f t="shared" si="42"/>
        <v>-7.9210234750524515E-3</v>
      </c>
      <c r="K1210" s="5">
        <f t="shared" si="43"/>
        <v>1208</v>
      </c>
      <c r="L1210" s="5">
        <v>4.8628518025857354E-2</v>
      </c>
    </row>
    <row r="1211" spans="1:12" x14ac:dyDescent="0.25">
      <c r="A1211" s="1">
        <v>45488</v>
      </c>
      <c r="B1211">
        <v>647.5</v>
      </c>
      <c r="C1211">
        <v>667.53997802734375</v>
      </c>
      <c r="D1211">
        <v>646.6300048828125</v>
      </c>
      <c r="E1211">
        <v>656.45001220703125</v>
      </c>
      <c r="F1211">
        <v>656.45001220703125</v>
      </c>
      <c r="G1211">
        <v>3208800</v>
      </c>
      <c r="I1211" s="5">
        <f t="shared" si="42"/>
        <v>1.3573363871456549E-2</v>
      </c>
      <c r="K1211" s="5">
        <f t="shared" si="43"/>
        <v>1209</v>
      </c>
      <c r="L1211" s="5">
        <v>4.9019649283412528E-2</v>
      </c>
    </row>
    <row r="1212" spans="1:12" x14ac:dyDescent="0.25">
      <c r="A1212" s="1">
        <v>45489</v>
      </c>
      <c r="B1212">
        <v>661.79998779296875</v>
      </c>
      <c r="C1212">
        <v>663.67999267578125</v>
      </c>
      <c r="D1212">
        <v>649.1300048828125</v>
      </c>
      <c r="E1212">
        <v>656.32000732421875</v>
      </c>
      <c r="F1212">
        <v>656.32000732421875</v>
      </c>
      <c r="G1212">
        <v>2685700</v>
      </c>
      <c r="I1212" s="5">
        <f t="shared" si="42"/>
        <v>-1.9806193210282112E-4</v>
      </c>
      <c r="K1212" s="5">
        <f t="shared" si="43"/>
        <v>1210</v>
      </c>
      <c r="L1212" s="5">
        <v>4.9075764562714543E-2</v>
      </c>
    </row>
    <row r="1213" spans="1:12" x14ac:dyDescent="0.25">
      <c r="A1213" s="1">
        <v>45490</v>
      </c>
      <c r="B1213">
        <v>650</v>
      </c>
      <c r="C1213">
        <v>650.45001220703125</v>
      </c>
      <c r="D1213">
        <v>639.469970703125</v>
      </c>
      <c r="E1213">
        <v>647.46002197265625</v>
      </c>
      <c r="F1213">
        <v>647.46002197265625</v>
      </c>
      <c r="G1213">
        <v>4017300</v>
      </c>
      <c r="I1213" s="5">
        <f t="shared" si="42"/>
        <v>-1.3591436503142257E-2</v>
      </c>
      <c r="K1213" s="5">
        <f t="shared" si="43"/>
        <v>1211</v>
      </c>
      <c r="L1213" s="5">
        <v>4.908492600855658E-2</v>
      </c>
    </row>
    <row r="1214" spans="1:12" x14ac:dyDescent="0.25">
      <c r="A1214" s="1">
        <v>45491</v>
      </c>
      <c r="B1214">
        <v>656.5999755859375</v>
      </c>
      <c r="C1214">
        <v>657.03997802734375</v>
      </c>
      <c r="D1214">
        <v>639.16998291015625</v>
      </c>
      <c r="E1214">
        <v>643.03997802734375</v>
      </c>
      <c r="F1214">
        <v>643.03997802734375</v>
      </c>
      <c r="G1214">
        <v>7575800</v>
      </c>
      <c r="I1214" s="5">
        <f t="shared" si="42"/>
        <v>-6.8501530094750088E-3</v>
      </c>
      <c r="K1214" s="5">
        <f t="shared" si="43"/>
        <v>1212</v>
      </c>
      <c r="L1214" s="5">
        <v>4.9657030142881226E-2</v>
      </c>
    </row>
    <row r="1215" spans="1:12" x14ac:dyDescent="0.25">
      <c r="A1215" s="1">
        <v>45492</v>
      </c>
      <c r="B1215">
        <v>660.6400146484375</v>
      </c>
      <c r="C1215">
        <v>678.969970703125</v>
      </c>
      <c r="D1215">
        <v>629.1199951171875</v>
      </c>
      <c r="E1215">
        <v>633.34002685546875</v>
      </c>
      <c r="F1215">
        <v>633.34002685546875</v>
      </c>
      <c r="G1215">
        <v>9815600</v>
      </c>
      <c r="I1215" s="5">
        <f t="shared" si="42"/>
        <v>-1.5199451381187563E-2</v>
      </c>
      <c r="K1215" s="5">
        <f t="shared" si="43"/>
        <v>1213</v>
      </c>
      <c r="L1215" s="5">
        <v>4.9710523546637242E-2</v>
      </c>
    </row>
    <row r="1216" spans="1:12" x14ac:dyDescent="0.25">
      <c r="A1216" s="1">
        <v>45495</v>
      </c>
      <c r="B1216">
        <v>639.5</v>
      </c>
      <c r="C1216">
        <v>656.28997802734375</v>
      </c>
      <c r="D1216">
        <v>632.5999755859375</v>
      </c>
      <c r="E1216">
        <v>647.5</v>
      </c>
      <c r="F1216">
        <v>647.5</v>
      </c>
      <c r="G1216">
        <v>5219100</v>
      </c>
      <c r="I1216" s="5">
        <f t="shared" si="42"/>
        <v>2.2111348423957969E-2</v>
      </c>
      <c r="K1216" s="5">
        <f t="shared" si="43"/>
        <v>1214</v>
      </c>
      <c r="L1216" s="5">
        <v>5.0151319569186073E-2</v>
      </c>
    </row>
    <row r="1217" spans="1:12" x14ac:dyDescent="0.25">
      <c r="A1217" s="1">
        <v>45496</v>
      </c>
      <c r="B1217">
        <v>647.5</v>
      </c>
      <c r="C1217">
        <v>649.90997314453125</v>
      </c>
      <c r="D1217">
        <v>641</v>
      </c>
      <c r="E1217">
        <v>642.760009765625</v>
      </c>
      <c r="F1217">
        <v>642.760009765625</v>
      </c>
      <c r="G1217">
        <v>2463600</v>
      </c>
      <c r="I1217" s="5">
        <f t="shared" si="42"/>
        <v>-7.3473742068724491E-3</v>
      </c>
      <c r="K1217" s="5">
        <f t="shared" si="43"/>
        <v>1215</v>
      </c>
      <c r="L1217" s="5">
        <v>5.0828318619930722E-2</v>
      </c>
    </row>
    <row r="1218" spans="1:12" x14ac:dyDescent="0.25">
      <c r="A1218" s="1">
        <v>45497</v>
      </c>
      <c r="B1218">
        <v>635.739990234375</v>
      </c>
      <c r="C1218">
        <v>652.41998291015625</v>
      </c>
      <c r="D1218">
        <v>632.66998291015625</v>
      </c>
      <c r="E1218">
        <v>635.989990234375</v>
      </c>
      <c r="F1218">
        <v>635.989990234375</v>
      </c>
      <c r="G1218">
        <v>4888200</v>
      </c>
      <c r="I1218" s="5">
        <f t="shared" si="42"/>
        <v>-1.0588594775748297E-2</v>
      </c>
      <c r="K1218" s="5">
        <f t="shared" si="43"/>
        <v>1216</v>
      </c>
      <c r="L1218" s="5">
        <v>5.1161728436999204E-2</v>
      </c>
    </row>
    <row r="1219" spans="1:12" x14ac:dyDescent="0.25">
      <c r="A1219" s="1">
        <v>45498</v>
      </c>
      <c r="B1219">
        <v>641</v>
      </c>
      <c r="C1219">
        <v>649.97998046875</v>
      </c>
      <c r="D1219">
        <v>621.70001220703125</v>
      </c>
      <c r="E1219">
        <v>634.09002685546875</v>
      </c>
      <c r="F1219">
        <v>634.09002685546875</v>
      </c>
      <c r="G1219">
        <v>4554500</v>
      </c>
      <c r="I1219" s="5">
        <f t="shared" si="42"/>
        <v>-2.9918820398899038E-3</v>
      </c>
      <c r="K1219" s="5">
        <f t="shared" si="43"/>
        <v>1217</v>
      </c>
      <c r="L1219" s="5">
        <v>5.1358940191468229E-2</v>
      </c>
    </row>
    <row r="1220" spans="1:12" x14ac:dyDescent="0.25">
      <c r="A1220" s="1">
        <v>45499</v>
      </c>
      <c r="B1220">
        <v>645</v>
      </c>
      <c r="C1220">
        <v>646.989990234375</v>
      </c>
      <c r="D1220">
        <v>629.77001953125</v>
      </c>
      <c r="E1220">
        <v>631.3699951171875</v>
      </c>
      <c r="F1220">
        <v>631.3699951171875</v>
      </c>
      <c r="G1220">
        <v>3120700</v>
      </c>
      <c r="I1220" s="5">
        <f t="shared" ref="I1220:I1259" si="44">LN(F1220/F1219)</f>
        <v>-4.2988887519172818E-3</v>
      </c>
      <c r="K1220" s="5">
        <f t="shared" ref="K1220:K1259" si="45">_xlfn.RANK.AVG(L1220,_xlfn.ANCHORARRAY($L$3),1)</f>
        <v>1218</v>
      </c>
      <c r="L1220" s="5">
        <v>5.1815234263864411E-2</v>
      </c>
    </row>
    <row r="1221" spans="1:12" x14ac:dyDescent="0.25">
      <c r="A1221" s="1">
        <v>45502</v>
      </c>
      <c r="B1221">
        <v>634.6099853515625</v>
      </c>
      <c r="C1221">
        <v>634.6099853515625</v>
      </c>
      <c r="D1221">
        <v>623.92999267578125</v>
      </c>
      <c r="E1221">
        <v>626.96002197265625</v>
      </c>
      <c r="F1221">
        <v>626.96002197265625</v>
      </c>
      <c r="G1221">
        <v>2400500</v>
      </c>
      <c r="I1221" s="5">
        <f t="shared" si="44"/>
        <v>-7.0092760083117983E-3</v>
      </c>
      <c r="K1221" s="5">
        <f t="shared" si="45"/>
        <v>1219</v>
      </c>
      <c r="L1221" s="5">
        <v>5.3499746848183045E-2</v>
      </c>
    </row>
    <row r="1222" spans="1:12" x14ac:dyDescent="0.25">
      <c r="A1222" s="1">
        <v>45503</v>
      </c>
      <c r="B1222">
        <v>630.16998291015625</v>
      </c>
      <c r="C1222">
        <v>634.69000244140625</v>
      </c>
      <c r="D1222">
        <v>617</v>
      </c>
      <c r="E1222">
        <v>622.58001708984375</v>
      </c>
      <c r="F1222">
        <v>622.58001708984375</v>
      </c>
      <c r="G1222">
        <v>3496600</v>
      </c>
      <c r="I1222" s="5">
        <f t="shared" si="44"/>
        <v>-7.0106162030533622E-3</v>
      </c>
      <c r="K1222" s="5">
        <f t="shared" si="45"/>
        <v>1220</v>
      </c>
      <c r="L1222" s="5">
        <v>5.3534976446302666E-2</v>
      </c>
    </row>
    <row r="1223" spans="1:12" x14ac:dyDescent="0.25">
      <c r="A1223" s="1">
        <v>45504</v>
      </c>
      <c r="B1223">
        <v>626.57000732421875</v>
      </c>
      <c r="C1223">
        <v>633.5999755859375</v>
      </c>
      <c r="D1223">
        <v>622.58001708984375</v>
      </c>
      <c r="E1223">
        <v>628.3499755859375</v>
      </c>
      <c r="F1223">
        <v>628.3499755859375</v>
      </c>
      <c r="G1223">
        <v>3134900</v>
      </c>
      <c r="I1223" s="5">
        <f t="shared" si="44"/>
        <v>9.2251356190117678E-3</v>
      </c>
      <c r="K1223" s="5">
        <f t="shared" si="45"/>
        <v>1221</v>
      </c>
      <c r="L1223" s="5">
        <v>5.3667109980682387E-2</v>
      </c>
    </row>
    <row r="1224" spans="1:12" x14ac:dyDescent="0.25">
      <c r="A1224" s="1">
        <v>45505</v>
      </c>
      <c r="B1224">
        <v>629.25</v>
      </c>
      <c r="C1224">
        <v>646.71002197265625</v>
      </c>
      <c r="D1224">
        <v>617.6099853515625</v>
      </c>
      <c r="E1224">
        <v>624.8499755859375</v>
      </c>
      <c r="F1224">
        <v>624.8499755859375</v>
      </c>
      <c r="G1224">
        <v>3720600</v>
      </c>
      <c r="I1224" s="5">
        <f t="shared" si="44"/>
        <v>-5.5857153469968815E-3</v>
      </c>
      <c r="K1224" s="5">
        <f t="shared" si="45"/>
        <v>1222</v>
      </c>
      <c r="L1224" s="5">
        <v>5.3897156654797891E-2</v>
      </c>
    </row>
    <row r="1225" spans="1:12" x14ac:dyDescent="0.25">
      <c r="A1225" s="1">
        <v>45506</v>
      </c>
      <c r="B1225">
        <v>620.97998046875</v>
      </c>
      <c r="C1225">
        <v>625.27001953125</v>
      </c>
      <c r="D1225">
        <v>608.3499755859375</v>
      </c>
      <c r="E1225">
        <v>613.6400146484375</v>
      </c>
      <c r="F1225">
        <v>613.6400146484375</v>
      </c>
      <c r="G1225">
        <v>3523000</v>
      </c>
      <c r="I1225" s="5">
        <f t="shared" si="44"/>
        <v>-1.8103121011955981E-2</v>
      </c>
      <c r="K1225" s="5">
        <f t="shared" si="45"/>
        <v>1223</v>
      </c>
      <c r="L1225" s="5">
        <v>5.4579876319675369E-2</v>
      </c>
    </row>
    <row r="1226" spans="1:12" x14ac:dyDescent="0.25">
      <c r="A1226" s="1">
        <v>45509</v>
      </c>
      <c r="B1226">
        <v>587.03997802734375</v>
      </c>
      <c r="C1226">
        <v>604.55999755859375</v>
      </c>
      <c r="D1226">
        <v>587.03997802734375</v>
      </c>
      <c r="E1226">
        <v>598.54998779296875</v>
      </c>
      <c r="F1226">
        <v>598.54998779296875</v>
      </c>
      <c r="G1226">
        <v>4044200</v>
      </c>
      <c r="I1226" s="5">
        <f t="shared" si="44"/>
        <v>-2.4898417544918467E-2</v>
      </c>
      <c r="K1226" s="5">
        <f t="shared" si="45"/>
        <v>1224</v>
      </c>
      <c r="L1226" s="5">
        <v>5.5351270993337205E-2</v>
      </c>
    </row>
    <row r="1227" spans="1:12" x14ac:dyDescent="0.25">
      <c r="A1227" s="1">
        <v>45510</v>
      </c>
      <c r="B1227">
        <v>600.6199951171875</v>
      </c>
      <c r="C1227">
        <v>622.45001220703125</v>
      </c>
      <c r="D1227">
        <v>600.6199951171875</v>
      </c>
      <c r="E1227">
        <v>609.57000732421875</v>
      </c>
      <c r="F1227">
        <v>609.57000732421875</v>
      </c>
      <c r="G1227">
        <v>4319100</v>
      </c>
      <c r="I1227" s="5">
        <f t="shared" si="44"/>
        <v>1.8243759275377254E-2</v>
      </c>
      <c r="K1227" s="5">
        <f t="shared" si="45"/>
        <v>1225</v>
      </c>
      <c r="L1227" s="5">
        <v>5.6604352987196085E-2</v>
      </c>
    </row>
    <row r="1228" spans="1:12" x14ac:dyDescent="0.25">
      <c r="A1228" s="1">
        <v>45511</v>
      </c>
      <c r="B1228">
        <v>616.07000732421875</v>
      </c>
      <c r="C1228">
        <v>632</v>
      </c>
      <c r="D1228">
        <v>610.6400146484375</v>
      </c>
      <c r="E1228">
        <v>611.47998046875</v>
      </c>
      <c r="F1228">
        <v>611.47998046875</v>
      </c>
      <c r="G1228">
        <v>3187800</v>
      </c>
      <c r="I1228" s="5">
        <f t="shared" si="44"/>
        <v>3.1284136134689436E-3</v>
      </c>
      <c r="K1228" s="5">
        <f t="shared" si="45"/>
        <v>1226</v>
      </c>
      <c r="L1228" s="5">
        <v>5.8292706061671667E-2</v>
      </c>
    </row>
    <row r="1229" spans="1:12" x14ac:dyDescent="0.25">
      <c r="A1229" s="1">
        <v>45512</v>
      </c>
      <c r="B1229">
        <v>621.989990234375</v>
      </c>
      <c r="C1229">
        <v>632.28997802734375</v>
      </c>
      <c r="D1229">
        <v>616.02001953125</v>
      </c>
      <c r="E1229">
        <v>630.3499755859375</v>
      </c>
      <c r="F1229">
        <v>630.3499755859375</v>
      </c>
      <c r="G1229">
        <v>3283500</v>
      </c>
      <c r="I1229" s="5">
        <f t="shared" si="44"/>
        <v>3.0392965754428392E-2</v>
      </c>
      <c r="K1229" s="5">
        <f t="shared" si="45"/>
        <v>1227</v>
      </c>
      <c r="L1229" s="5">
        <v>5.8424777756217287E-2</v>
      </c>
    </row>
    <row r="1230" spans="1:12" x14ac:dyDescent="0.25">
      <c r="A1230" s="1">
        <v>45513</v>
      </c>
      <c r="B1230">
        <v>622.989990234375</v>
      </c>
      <c r="C1230">
        <v>636.6199951171875</v>
      </c>
      <c r="D1230">
        <v>622.989990234375</v>
      </c>
      <c r="E1230">
        <v>633.94000244140625</v>
      </c>
      <c r="F1230">
        <v>633.94000244140625</v>
      </c>
      <c r="G1230">
        <v>1980800</v>
      </c>
      <c r="I1230" s="5">
        <f t="shared" si="44"/>
        <v>5.6791346397148217E-3</v>
      </c>
      <c r="K1230" s="5">
        <f t="shared" si="45"/>
        <v>1228</v>
      </c>
      <c r="L1230" s="5">
        <v>5.9609210174850519E-2</v>
      </c>
    </row>
    <row r="1231" spans="1:12" x14ac:dyDescent="0.25">
      <c r="A1231" s="1">
        <v>45516</v>
      </c>
      <c r="B1231">
        <v>631</v>
      </c>
      <c r="C1231">
        <v>639</v>
      </c>
      <c r="D1231">
        <v>627.07000732421875</v>
      </c>
      <c r="E1231">
        <v>633.1400146484375</v>
      </c>
      <c r="F1231">
        <v>633.1400146484375</v>
      </c>
      <c r="G1231">
        <v>2331700</v>
      </c>
      <c r="I1231" s="5">
        <f t="shared" si="44"/>
        <v>-1.2627267236098782E-3</v>
      </c>
      <c r="K1231" s="5">
        <f t="shared" si="45"/>
        <v>1229</v>
      </c>
      <c r="L1231" s="5">
        <v>5.9800529933815565E-2</v>
      </c>
    </row>
    <row r="1232" spans="1:12" x14ac:dyDescent="0.25">
      <c r="A1232" s="1">
        <v>45517</v>
      </c>
      <c r="B1232">
        <v>638.55999755859375</v>
      </c>
      <c r="C1232">
        <v>650.969970703125</v>
      </c>
      <c r="D1232">
        <v>635.5</v>
      </c>
      <c r="E1232">
        <v>648.02001953125</v>
      </c>
      <c r="F1232">
        <v>648.02001953125</v>
      </c>
      <c r="G1232">
        <v>2639600</v>
      </c>
      <c r="I1232" s="5">
        <f t="shared" si="44"/>
        <v>2.3230000350983722E-2</v>
      </c>
      <c r="K1232" s="5">
        <f t="shared" si="45"/>
        <v>1230</v>
      </c>
      <c r="L1232" s="5">
        <v>6.1225111446222072E-2</v>
      </c>
    </row>
    <row r="1233" spans="1:12" x14ac:dyDescent="0.25">
      <c r="A1233" s="1">
        <v>45518</v>
      </c>
      <c r="B1233">
        <v>648.70001220703125</v>
      </c>
      <c r="C1233">
        <v>663.57000732421875</v>
      </c>
      <c r="D1233">
        <v>648.70001220703125</v>
      </c>
      <c r="E1233">
        <v>661.67999267578125</v>
      </c>
      <c r="F1233">
        <v>661.67999267578125</v>
      </c>
      <c r="G1233">
        <v>4014300</v>
      </c>
      <c r="I1233" s="5">
        <f t="shared" si="44"/>
        <v>2.0860454101122441E-2</v>
      </c>
      <c r="K1233" s="5">
        <f t="shared" si="45"/>
        <v>1231</v>
      </c>
      <c r="L1233" s="5">
        <v>6.3587006513015729E-2</v>
      </c>
    </row>
    <row r="1234" spans="1:12" x14ac:dyDescent="0.25">
      <c r="A1234" s="1">
        <v>45519</v>
      </c>
      <c r="B1234">
        <v>668.489990234375</v>
      </c>
      <c r="C1234">
        <v>673.19000244140625</v>
      </c>
      <c r="D1234">
        <v>659.79998779296875</v>
      </c>
      <c r="E1234">
        <v>663.219970703125</v>
      </c>
      <c r="F1234">
        <v>663.219970703125</v>
      </c>
      <c r="G1234">
        <v>3210200</v>
      </c>
      <c r="I1234" s="5">
        <f t="shared" si="44"/>
        <v>2.324671693600754E-3</v>
      </c>
      <c r="K1234" s="5">
        <f t="shared" si="45"/>
        <v>1232</v>
      </c>
      <c r="L1234" s="5">
        <v>6.4637607603153041E-2</v>
      </c>
    </row>
    <row r="1235" spans="1:12" x14ac:dyDescent="0.25">
      <c r="A1235" s="1">
        <v>45520</v>
      </c>
      <c r="B1235">
        <v>669.42999267578125</v>
      </c>
      <c r="C1235">
        <v>680.22998046875</v>
      </c>
      <c r="D1235">
        <v>665.3599853515625</v>
      </c>
      <c r="E1235">
        <v>674.07000732421875</v>
      </c>
      <c r="F1235">
        <v>674.07000732421875</v>
      </c>
      <c r="G1235">
        <v>3511000</v>
      </c>
      <c r="I1235" s="5">
        <f t="shared" si="44"/>
        <v>1.622725794378739E-2</v>
      </c>
      <c r="K1235" s="5">
        <f t="shared" si="45"/>
        <v>1233</v>
      </c>
      <c r="L1235" s="5">
        <v>6.5082292885716722E-2</v>
      </c>
    </row>
    <row r="1236" spans="1:12" x14ac:dyDescent="0.25">
      <c r="A1236" s="1">
        <v>45523</v>
      </c>
      <c r="B1236">
        <v>674.07000732421875</v>
      </c>
      <c r="C1236">
        <v>688.84002685546875</v>
      </c>
      <c r="D1236">
        <v>672.90997314453125</v>
      </c>
      <c r="E1236">
        <v>688.530029296875</v>
      </c>
      <c r="F1236">
        <v>688.530029296875</v>
      </c>
      <c r="G1236">
        <v>3016200</v>
      </c>
      <c r="I1236" s="5">
        <f t="shared" si="44"/>
        <v>2.122495880215837E-2</v>
      </c>
      <c r="K1236" s="5">
        <f t="shared" si="45"/>
        <v>1234</v>
      </c>
      <c r="L1236" s="5">
        <v>6.763113960576661E-2</v>
      </c>
    </row>
    <row r="1237" spans="1:12" x14ac:dyDescent="0.25">
      <c r="A1237" s="1">
        <v>45524</v>
      </c>
      <c r="B1237">
        <v>688.8599853515625</v>
      </c>
      <c r="C1237">
        <v>711.33001708984375</v>
      </c>
      <c r="D1237">
        <v>688.25</v>
      </c>
      <c r="E1237">
        <v>698.53997802734375</v>
      </c>
      <c r="F1237">
        <v>698.53997802734375</v>
      </c>
      <c r="G1237">
        <v>4813100</v>
      </c>
      <c r="I1237" s="5">
        <f t="shared" si="44"/>
        <v>1.4433478417295181E-2</v>
      </c>
      <c r="K1237" s="5">
        <f t="shared" si="45"/>
        <v>1235</v>
      </c>
      <c r="L1237" s="5">
        <v>6.7783681281011476E-2</v>
      </c>
    </row>
    <row r="1238" spans="1:12" x14ac:dyDescent="0.25">
      <c r="A1238" s="1">
        <v>45525</v>
      </c>
      <c r="B1238">
        <v>697</v>
      </c>
      <c r="C1238">
        <v>701</v>
      </c>
      <c r="D1238">
        <v>691.3800048828125</v>
      </c>
      <c r="E1238">
        <v>697.1199951171875</v>
      </c>
      <c r="F1238">
        <v>697.1199951171875</v>
      </c>
      <c r="G1238">
        <v>2235300</v>
      </c>
      <c r="I1238" s="5">
        <f t="shared" si="44"/>
        <v>-2.0348558064991829E-3</v>
      </c>
      <c r="K1238" s="5">
        <f t="shared" si="45"/>
        <v>1236</v>
      </c>
      <c r="L1238" s="5">
        <v>6.7855962380375501E-2</v>
      </c>
    </row>
    <row r="1239" spans="1:12" x14ac:dyDescent="0.25">
      <c r="A1239" s="1">
        <v>45526</v>
      </c>
      <c r="B1239">
        <v>691</v>
      </c>
      <c r="C1239">
        <v>701.5</v>
      </c>
      <c r="D1239">
        <v>686.239990234375</v>
      </c>
      <c r="E1239">
        <v>688.96002197265625</v>
      </c>
      <c r="F1239">
        <v>688.96002197265625</v>
      </c>
      <c r="G1239">
        <v>2729400</v>
      </c>
      <c r="I1239" s="5">
        <f t="shared" si="44"/>
        <v>-1.1774309296371046E-2</v>
      </c>
      <c r="K1239" s="5">
        <f t="shared" si="45"/>
        <v>1237</v>
      </c>
      <c r="L1239" s="5">
        <v>6.9892279873241273E-2</v>
      </c>
    </row>
    <row r="1240" spans="1:12" x14ac:dyDescent="0.25">
      <c r="A1240" s="1">
        <v>45527</v>
      </c>
      <c r="B1240">
        <v>694.1300048828125</v>
      </c>
      <c r="C1240">
        <v>696.07000732421875</v>
      </c>
      <c r="D1240">
        <v>678.6300048828125</v>
      </c>
      <c r="E1240">
        <v>686.72998046875</v>
      </c>
      <c r="F1240">
        <v>686.72998046875</v>
      </c>
      <c r="G1240">
        <v>2354500</v>
      </c>
      <c r="I1240" s="5">
        <f t="shared" si="44"/>
        <v>-3.2420726374187523E-3</v>
      </c>
      <c r="K1240" s="5">
        <f t="shared" si="45"/>
        <v>1238</v>
      </c>
      <c r="L1240" s="5">
        <v>7.0879025187683353E-2</v>
      </c>
    </row>
    <row r="1241" spans="1:12" x14ac:dyDescent="0.25">
      <c r="A1241" s="1">
        <v>45530</v>
      </c>
      <c r="B1241">
        <v>687.260009765625</v>
      </c>
      <c r="C1241">
        <v>690.59002685546875</v>
      </c>
      <c r="D1241">
        <v>681.6400146484375</v>
      </c>
      <c r="E1241">
        <v>688.44000244140625</v>
      </c>
      <c r="F1241">
        <v>688.44000244140625</v>
      </c>
      <c r="G1241">
        <v>1354200</v>
      </c>
      <c r="I1241" s="5">
        <f t="shared" si="44"/>
        <v>2.4869985169894901E-3</v>
      </c>
      <c r="K1241" s="5">
        <f t="shared" si="45"/>
        <v>1239</v>
      </c>
      <c r="L1241" s="5">
        <v>7.2345690085294109E-2</v>
      </c>
    </row>
    <row r="1242" spans="1:12" x14ac:dyDescent="0.25">
      <c r="A1242" s="1">
        <v>45531</v>
      </c>
      <c r="B1242">
        <v>688.530029296875</v>
      </c>
      <c r="C1242">
        <v>707.8900146484375</v>
      </c>
      <c r="D1242">
        <v>686.91998291015625</v>
      </c>
      <c r="E1242">
        <v>695.719970703125</v>
      </c>
      <c r="F1242">
        <v>695.719970703125</v>
      </c>
      <c r="G1242">
        <v>3164900</v>
      </c>
      <c r="I1242" s="5">
        <f t="shared" si="44"/>
        <v>1.0519066481732033E-2</v>
      </c>
      <c r="K1242" s="5">
        <f t="shared" si="45"/>
        <v>1240</v>
      </c>
      <c r="L1242" s="5">
        <v>7.237884554215962E-2</v>
      </c>
    </row>
    <row r="1243" spans="1:12" x14ac:dyDescent="0.25">
      <c r="A1243" s="1">
        <v>45532</v>
      </c>
      <c r="B1243">
        <v>695.83001708984375</v>
      </c>
      <c r="C1243">
        <v>696.66998291015625</v>
      </c>
      <c r="D1243">
        <v>677.0999755859375</v>
      </c>
      <c r="E1243">
        <v>683.84002685546875</v>
      </c>
      <c r="F1243">
        <v>683.84002685546875</v>
      </c>
      <c r="G1243">
        <v>2430600</v>
      </c>
      <c r="I1243" s="5">
        <f t="shared" si="44"/>
        <v>-1.7223227027450046E-2</v>
      </c>
      <c r="K1243" s="5">
        <f t="shared" si="45"/>
        <v>1241</v>
      </c>
      <c r="L1243" s="5">
        <v>7.3689920986820645E-2</v>
      </c>
    </row>
    <row r="1244" spans="1:12" x14ac:dyDescent="0.25">
      <c r="A1244" s="1">
        <v>45533</v>
      </c>
      <c r="B1244">
        <v>690</v>
      </c>
      <c r="C1244">
        <v>699.79998779296875</v>
      </c>
      <c r="D1244">
        <v>686.07000732421875</v>
      </c>
      <c r="E1244">
        <v>692.47998046875</v>
      </c>
      <c r="F1244">
        <v>692.47998046875</v>
      </c>
      <c r="G1244">
        <v>2187000</v>
      </c>
      <c r="I1244" s="5">
        <f t="shared" si="44"/>
        <v>1.2555317170871636E-2</v>
      </c>
      <c r="K1244" s="5">
        <f t="shared" si="45"/>
        <v>1242</v>
      </c>
      <c r="L1244" s="5">
        <v>7.6732668720362704E-2</v>
      </c>
    </row>
    <row r="1245" spans="1:12" x14ac:dyDescent="0.25">
      <c r="A1245" s="1">
        <v>45534</v>
      </c>
      <c r="B1245">
        <v>700.3599853515625</v>
      </c>
      <c r="C1245">
        <v>701.8599853515625</v>
      </c>
      <c r="D1245">
        <v>688.15997314453125</v>
      </c>
      <c r="E1245">
        <v>701.3499755859375</v>
      </c>
      <c r="F1245">
        <v>701.3499755859375</v>
      </c>
      <c r="G1245">
        <v>3266700</v>
      </c>
      <c r="I1245" s="5">
        <f t="shared" si="44"/>
        <v>1.2727685782360155E-2</v>
      </c>
      <c r="K1245" s="5">
        <f t="shared" si="45"/>
        <v>1243</v>
      </c>
      <c r="L1245" s="5">
        <v>7.6813258328683631E-2</v>
      </c>
    </row>
    <row r="1246" spans="1:12" x14ac:dyDescent="0.25">
      <c r="A1246" s="1">
        <v>45538</v>
      </c>
      <c r="B1246">
        <v>700.0999755859375</v>
      </c>
      <c r="C1246">
        <v>703.8599853515625</v>
      </c>
      <c r="D1246">
        <v>671.010009765625</v>
      </c>
      <c r="E1246">
        <v>675.32000732421875</v>
      </c>
      <c r="F1246">
        <v>675.32000732421875</v>
      </c>
      <c r="G1246">
        <v>3161000</v>
      </c>
      <c r="I1246" s="5">
        <f t="shared" si="44"/>
        <v>-3.7820350901035707E-2</v>
      </c>
      <c r="K1246" s="5">
        <f t="shared" si="45"/>
        <v>1244</v>
      </c>
      <c r="L1246" s="5">
        <v>7.7597567431419087E-2</v>
      </c>
    </row>
    <row r="1247" spans="1:12" x14ac:dyDescent="0.25">
      <c r="A1247" s="1">
        <v>45539</v>
      </c>
      <c r="B1247">
        <v>673.30999755859375</v>
      </c>
      <c r="C1247">
        <v>684.6500244140625</v>
      </c>
      <c r="D1247">
        <v>673.05999755859375</v>
      </c>
      <c r="E1247">
        <v>679.67999267578125</v>
      </c>
      <c r="F1247">
        <v>679.67999267578125</v>
      </c>
      <c r="G1247">
        <v>1785300</v>
      </c>
      <c r="I1247" s="5">
        <f t="shared" si="44"/>
        <v>6.4354249429380084E-3</v>
      </c>
      <c r="K1247" s="5">
        <f t="shared" si="45"/>
        <v>1245</v>
      </c>
      <c r="L1247" s="5">
        <v>7.8800826351504843E-2</v>
      </c>
    </row>
    <row r="1248" spans="1:12" x14ac:dyDescent="0.25">
      <c r="A1248" s="1">
        <v>45540</v>
      </c>
      <c r="B1248">
        <v>673.1400146484375</v>
      </c>
      <c r="C1248">
        <v>687.30999755859375</v>
      </c>
      <c r="D1248">
        <v>671.8599853515625</v>
      </c>
      <c r="E1248">
        <v>683.6199951171875</v>
      </c>
      <c r="F1248">
        <v>683.6199951171875</v>
      </c>
      <c r="G1248">
        <v>1810100</v>
      </c>
      <c r="I1248" s="5">
        <f t="shared" si="44"/>
        <v>5.7801121487609389E-3</v>
      </c>
      <c r="K1248" s="5">
        <f t="shared" si="45"/>
        <v>1246</v>
      </c>
      <c r="L1248" s="5">
        <v>7.9221911075041965E-2</v>
      </c>
    </row>
    <row r="1249" spans="1:12" x14ac:dyDescent="0.25">
      <c r="A1249" s="1">
        <v>45541</v>
      </c>
      <c r="B1249">
        <v>681.8599853515625</v>
      </c>
      <c r="C1249">
        <v>683.1500244140625</v>
      </c>
      <c r="D1249">
        <v>662.34002685546875</v>
      </c>
      <c r="E1249">
        <v>665.77001953125</v>
      </c>
      <c r="F1249">
        <v>665.77001953125</v>
      </c>
      <c r="G1249">
        <v>2991300</v>
      </c>
      <c r="I1249" s="5">
        <f t="shared" si="44"/>
        <v>-2.6457905660305214E-2</v>
      </c>
      <c r="K1249" s="5">
        <f t="shared" si="45"/>
        <v>1247</v>
      </c>
      <c r="L1249" s="5">
        <v>8.1225892974213287E-2</v>
      </c>
    </row>
    <row r="1250" spans="1:12" x14ac:dyDescent="0.25">
      <c r="A1250" s="1">
        <v>45544</v>
      </c>
      <c r="B1250">
        <v>674</v>
      </c>
      <c r="C1250">
        <v>683.5</v>
      </c>
      <c r="D1250">
        <v>672.1400146484375</v>
      </c>
      <c r="E1250">
        <v>675.41998291015625</v>
      </c>
      <c r="F1250">
        <v>675.41998291015625</v>
      </c>
      <c r="G1250">
        <v>2683100</v>
      </c>
      <c r="I1250" s="5">
        <f t="shared" si="44"/>
        <v>1.4390399406284629E-2</v>
      </c>
      <c r="K1250" s="5">
        <f t="shared" si="45"/>
        <v>1248</v>
      </c>
      <c r="L1250" s="5">
        <v>8.3835689434235597E-2</v>
      </c>
    </row>
    <row r="1251" spans="1:12" x14ac:dyDescent="0.25">
      <c r="A1251" s="1">
        <v>45545</v>
      </c>
      <c r="B1251">
        <v>676.8699951171875</v>
      </c>
      <c r="C1251">
        <v>680.59002685546875</v>
      </c>
      <c r="D1251">
        <v>665.80999755859375</v>
      </c>
      <c r="E1251">
        <v>673.6199951171875</v>
      </c>
      <c r="F1251">
        <v>673.6199951171875</v>
      </c>
      <c r="G1251">
        <v>2079200</v>
      </c>
      <c r="I1251" s="5">
        <f t="shared" si="44"/>
        <v>-2.6685478420967403E-3</v>
      </c>
      <c r="K1251" s="5">
        <f t="shared" si="45"/>
        <v>1249</v>
      </c>
      <c r="L1251" s="5">
        <v>8.6237009952846513E-2</v>
      </c>
    </row>
    <row r="1252" spans="1:12" x14ac:dyDescent="0.25">
      <c r="A1252" s="1">
        <v>45546</v>
      </c>
      <c r="B1252">
        <v>677.46002197265625</v>
      </c>
      <c r="C1252">
        <v>682.969970703125</v>
      </c>
      <c r="D1252">
        <v>660.79998779296875</v>
      </c>
      <c r="E1252">
        <v>681.469970703125</v>
      </c>
      <c r="F1252">
        <v>681.469970703125</v>
      </c>
      <c r="G1252">
        <v>2391900</v>
      </c>
      <c r="I1252" s="5">
        <f t="shared" si="44"/>
        <v>1.1586040183902616E-2</v>
      </c>
      <c r="K1252" s="5">
        <f t="shared" si="45"/>
        <v>1250</v>
      </c>
      <c r="L1252" s="5">
        <v>8.8155512939473629E-2</v>
      </c>
    </row>
    <row r="1253" spans="1:12" x14ac:dyDescent="0.25">
      <c r="A1253" s="1">
        <v>45547</v>
      </c>
      <c r="B1253">
        <v>684.91998291015625</v>
      </c>
      <c r="C1253">
        <v>694.8800048828125</v>
      </c>
      <c r="D1253">
        <v>682.20001220703125</v>
      </c>
      <c r="E1253">
        <v>686.79998779296875</v>
      </c>
      <c r="F1253">
        <v>686.79998779296875</v>
      </c>
      <c r="G1253">
        <v>2588400</v>
      </c>
      <c r="I1253" s="5">
        <f t="shared" si="44"/>
        <v>7.7909246155115587E-3</v>
      </c>
      <c r="K1253" s="5">
        <f t="shared" si="45"/>
        <v>1251</v>
      </c>
      <c r="L1253" s="5">
        <v>8.8822284255514139E-2</v>
      </c>
    </row>
    <row r="1254" spans="1:12" x14ac:dyDescent="0.25">
      <c r="A1254" s="1">
        <v>45548</v>
      </c>
      <c r="B1254">
        <v>680.010009765625</v>
      </c>
      <c r="C1254">
        <v>699.6400146484375</v>
      </c>
      <c r="D1254">
        <v>680</v>
      </c>
      <c r="E1254">
        <v>697.05999755859375</v>
      </c>
      <c r="F1254">
        <v>697.05999755859375</v>
      </c>
      <c r="G1254">
        <v>2276500</v>
      </c>
      <c r="I1254" s="5">
        <f t="shared" si="44"/>
        <v>1.4828375517374912E-2</v>
      </c>
      <c r="K1254" s="5">
        <f t="shared" si="45"/>
        <v>1252</v>
      </c>
      <c r="L1254" s="5">
        <v>0.10168239937189288</v>
      </c>
    </row>
    <row r="1255" spans="1:12" x14ac:dyDescent="0.25">
      <c r="A1255" s="1">
        <v>45551</v>
      </c>
      <c r="B1255">
        <v>700</v>
      </c>
      <c r="C1255">
        <v>703.02001953125</v>
      </c>
      <c r="D1255">
        <v>688.6300048828125</v>
      </c>
      <c r="E1255">
        <v>696.5</v>
      </c>
      <c r="F1255">
        <v>696.5</v>
      </c>
      <c r="G1255">
        <v>1843700</v>
      </c>
      <c r="I1255" s="5">
        <f t="shared" si="44"/>
        <v>-8.0369354705616455E-4</v>
      </c>
      <c r="K1255" s="5">
        <f t="shared" si="45"/>
        <v>1253</v>
      </c>
      <c r="L1255" s="5">
        <v>0.1055322873402436</v>
      </c>
    </row>
    <row r="1256" spans="1:12" x14ac:dyDescent="0.25">
      <c r="A1256" s="1">
        <v>45552</v>
      </c>
      <c r="B1256">
        <v>700.82000732421875</v>
      </c>
      <c r="C1256">
        <v>707.6300048828125</v>
      </c>
      <c r="D1256">
        <v>698.3699951171875</v>
      </c>
      <c r="E1256">
        <v>706.90997314453125</v>
      </c>
      <c r="F1256">
        <v>706.90997314453125</v>
      </c>
      <c r="G1256">
        <v>2298600</v>
      </c>
      <c r="I1256" s="5">
        <f t="shared" si="44"/>
        <v>1.4835528139506605E-2</v>
      </c>
      <c r="K1256" s="5">
        <f t="shared" si="45"/>
        <v>1254</v>
      </c>
      <c r="L1256" s="5">
        <v>0.10982897100358414</v>
      </c>
    </row>
    <row r="1257" spans="1:12" x14ac:dyDescent="0.25">
      <c r="A1257" s="1">
        <v>45553</v>
      </c>
      <c r="B1257">
        <v>707.54998779296875</v>
      </c>
      <c r="C1257">
        <v>707.54998779296875</v>
      </c>
      <c r="D1257">
        <v>688</v>
      </c>
      <c r="E1257">
        <v>690.469970703125</v>
      </c>
      <c r="F1257">
        <v>690.469970703125</v>
      </c>
      <c r="G1257">
        <v>2984400</v>
      </c>
      <c r="I1257" s="5">
        <f t="shared" si="44"/>
        <v>-2.3530838661894236E-2</v>
      </c>
      <c r="K1257" s="5">
        <f t="shared" si="45"/>
        <v>1255</v>
      </c>
      <c r="L1257" s="5">
        <v>0.12298231370089835</v>
      </c>
    </row>
    <row r="1258" spans="1:12" x14ac:dyDescent="0.25">
      <c r="A1258" s="1">
        <v>45554</v>
      </c>
      <c r="B1258">
        <v>705</v>
      </c>
      <c r="C1258">
        <v>715.65997314453125</v>
      </c>
      <c r="D1258">
        <v>695.3699951171875</v>
      </c>
      <c r="E1258">
        <v>704.32000732421875</v>
      </c>
      <c r="F1258">
        <v>704.32000732421875</v>
      </c>
      <c r="G1258">
        <v>4228500</v>
      </c>
      <c r="I1258" s="5">
        <f t="shared" si="44"/>
        <v>1.9860326039617172E-2</v>
      </c>
      <c r="K1258" s="5">
        <f t="shared" si="45"/>
        <v>1256</v>
      </c>
      <c r="L1258" s="5">
        <v>0.14889199389697941</v>
      </c>
    </row>
    <row r="1259" spans="1:12" x14ac:dyDescent="0.25">
      <c r="A1259" s="1">
        <v>45555</v>
      </c>
      <c r="B1259">
        <v>705.54998779296875</v>
      </c>
      <c r="C1259">
        <v>706.66998291015625</v>
      </c>
      <c r="D1259">
        <v>696.30999755859375</v>
      </c>
      <c r="E1259">
        <v>701.030029296875</v>
      </c>
      <c r="F1259">
        <v>701.030029296875</v>
      </c>
      <c r="G1259">
        <v>3996200</v>
      </c>
      <c r="I1259" s="5">
        <f t="shared" si="44"/>
        <v>-4.6820848213315015E-3</v>
      </c>
      <c r="K1259" s="5">
        <f t="shared" si="45"/>
        <v>1257</v>
      </c>
      <c r="L1259" s="5">
        <v>0.15575804642814195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13229-CFAA-462F-9506-6D05816E0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VaR and CVaR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Ritik Sharma</cp:lastModifiedBy>
  <dcterms:created xsi:type="dcterms:W3CDTF">2015-06-05T18:17:20Z</dcterms:created>
  <dcterms:modified xsi:type="dcterms:W3CDTF">2024-11-10T13:30:17Z</dcterms:modified>
</cp:coreProperties>
</file>